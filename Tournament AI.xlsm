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neDrive\AI Learning\"/>
    </mc:Choice>
  </mc:AlternateContent>
  <xr:revisionPtr revIDLastSave="42" documentId="8_{4BB0EBCC-69DD-4B18-BCF0-6C2BB63BC698}" xr6:coauthVersionLast="36" xr6:coauthVersionMax="43" xr10:uidLastSave="{82A4D308-6099-47F6-87F1-5CBDF688A294}"/>
  <bookViews>
    <workbookView xWindow="4010" yWindow="1020" windowWidth="31460" windowHeight="19140" activeTab="5" xr2:uid="{00000000-000D-0000-FFFF-FFFF00000000}"/>
  </bookViews>
  <sheets>
    <sheet name="Instructions" sheetId="55" r:id="rId1"/>
    <sheet name="Input" sheetId="54" r:id="rId2"/>
    <sheet name="toTF" sheetId="56" r:id="rId3"/>
    <sheet name="fromTF" sheetId="57" r:id="rId4"/>
    <sheet name="event" sheetId="4" r:id="rId5"/>
    <sheet name="Doubleelim" sheetId="53" r:id="rId6"/>
    <sheet name="Bracket2Template" sheetId="8" r:id="rId7"/>
    <sheet name="BracketTemplate" sheetId="7" r:id="rId8"/>
  </sheets>
  <definedNames>
    <definedName name="_xlnm.Print_Area" localSheetId="7">BracketTemplate!$A$1:$M$29</definedName>
    <definedName name="_xlnm.Print_Area" localSheetId="5">Doubleelim!$A$1:$M$54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359" i="4" l="1"/>
  <c r="L356" i="4"/>
  <c r="J359" i="4"/>
  <c r="J356" i="4"/>
  <c r="I359" i="4"/>
  <c r="I356" i="4"/>
</calcChain>
</file>

<file path=xl/sharedStrings.xml><?xml version="1.0" encoding="utf-8"?>
<sst xmlns="http://schemas.openxmlformats.org/spreadsheetml/2006/main" count="114" uniqueCount="85">
  <si>
    <t>Total</t>
  </si>
  <si>
    <t>Name</t>
  </si>
  <si>
    <t>School</t>
  </si>
  <si>
    <t>Score 1</t>
  </si>
  <si>
    <t>Score 2</t>
  </si>
  <si>
    <t>Score 3</t>
  </si>
  <si>
    <t>Score 4</t>
  </si>
  <si>
    <t>Score 5</t>
  </si>
  <si>
    <t>Place</t>
  </si>
  <si>
    <t>L1</t>
  </si>
  <si>
    <t>L2</t>
  </si>
  <si>
    <t>L3</t>
  </si>
  <si>
    <t>L4</t>
  </si>
  <si>
    <t>L8</t>
  </si>
  <si>
    <t>L7</t>
  </si>
  <si>
    <t>L11</t>
  </si>
  <si>
    <t>Winner of 11 faces Winner of 13</t>
  </si>
  <si>
    <t>Winner of 13 must defeat winner of 11 twice</t>
  </si>
  <si>
    <t>Losers Bracket</t>
  </si>
  <si>
    <t>2019 Twin Dragons Tournament</t>
  </si>
  <si>
    <t>2019 Twin Dragons Tournament - Double Elimination</t>
  </si>
  <si>
    <t xml:space="preserve">Step 1. </t>
  </si>
  <si>
    <t>Weight</t>
  </si>
  <si>
    <t>Belt</t>
  </si>
  <si>
    <t>Age</t>
  </si>
  <si>
    <t>Gender</t>
  </si>
  <si>
    <t>Sam Laruso</t>
  </si>
  <si>
    <t>Miyagi Do</t>
  </si>
  <si>
    <t>Belt Categories</t>
  </si>
  <si>
    <t>Beg</t>
  </si>
  <si>
    <t>Int</t>
  </si>
  <si>
    <t>Adv</t>
  </si>
  <si>
    <t>Black</t>
  </si>
  <si>
    <t>Female</t>
  </si>
  <si>
    <t>Male</t>
  </si>
  <si>
    <t xml:space="preserve">Step 2. </t>
  </si>
  <si>
    <t>The farther they are apart, the less likely different athletes will be in the same division</t>
  </si>
  <si>
    <t xml:space="preserve">Step 3. </t>
  </si>
  <si>
    <t xml:space="preserve">Click the button to prepare your data for TensorFlow. </t>
  </si>
  <si>
    <t xml:space="preserve">Step 4. </t>
  </si>
  <si>
    <t xml:space="preserve">Step 5. </t>
  </si>
  <si>
    <t>Click the button to convert the raw TensorFlow data to human readible divisions</t>
  </si>
  <si>
    <t xml:space="preserve">Add your tournament name and logo to the bracket templates. </t>
  </si>
  <si>
    <t xml:space="preserve">Click the button for which bracket you want to generate. </t>
  </si>
  <si>
    <t xml:space="preserve">Our defaults are probably good. </t>
  </si>
  <si>
    <r>
      <t xml:space="preserve">Copy your raw data to the </t>
    </r>
    <r>
      <rPr>
        <sz val="10"/>
        <color rgb="FF00B0F0"/>
        <rFont val="Arial"/>
        <family val="2"/>
      </rPr>
      <t>Input</t>
    </r>
    <r>
      <rPr>
        <sz val="10"/>
        <rFont val="Arial"/>
        <family val="2"/>
      </rPr>
      <t xml:space="preserve"> sheet. </t>
    </r>
  </si>
  <si>
    <t xml:space="preserve">The first row should be the header with fields in this order.  </t>
  </si>
  <si>
    <t xml:space="preserve">To ignore a field (i.e., no weight divisions for forms) set that field to the same value for all competitors. </t>
  </si>
  <si>
    <t xml:space="preserve">Age and weight should be numbers, and belt and gender should be the exact words listed below. </t>
  </si>
  <si>
    <r>
      <t xml:space="preserve">Manually adjust the divisions in the </t>
    </r>
    <r>
      <rPr>
        <sz val="10"/>
        <color rgb="FF00B0F0"/>
        <rFont val="Arial"/>
        <family val="2"/>
      </rPr>
      <t>event</t>
    </r>
    <r>
      <rPr>
        <sz val="10"/>
        <rFont val="Arial"/>
        <family val="2"/>
      </rPr>
      <t xml:space="preserve"> tab if anything looks off. </t>
    </r>
  </si>
  <si>
    <r>
      <t xml:space="preserve">Change the label of the </t>
    </r>
    <r>
      <rPr>
        <sz val="10"/>
        <color rgb="FF00B0F0"/>
        <rFont val="Arial"/>
        <family val="2"/>
      </rPr>
      <t>event</t>
    </r>
    <r>
      <rPr>
        <sz val="10"/>
        <rFont val="Arial"/>
        <family val="2"/>
      </rPr>
      <t xml:space="preserve"> tab to Spar, Forms, Grap, etc. </t>
    </r>
  </si>
  <si>
    <t xml:space="preserve">If necessary, seed divisions or place same school athletes on opposite sides before printing. </t>
  </si>
  <si>
    <t>* It's recommended to save this workbook and all the brackets for one event</t>
  </si>
  <si>
    <t xml:space="preserve">and then open a fresh copy for any other events. </t>
  </si>
  <si>
    <t>Belt Level</t>
  </si>
  <si>
    <t>Value</t>
  </si>
  <si>
    <t>Dojang</t>
  </si>
  <si>
    <t>Sam LaRuso</t>
  </si>
  <si>
    <r>
      <t xml:space="preserve">Copy all the data in the </t>
    </r>
    <r>
      <rPr>
        <sz val="10"/>
        <color rgb="FF00B0F0"/>
        <rFont val="Arial"/>
        <family val="2"/>
      </rPr>
      <t>toTF</t>
    </r>
    <r>
      <rPr>
        <sz val="10"/>
        <rFont val="Arial"/>
        <family val="2"/>
      </rPr>
      <t xml:space="preserve"> sheet into a separate CSV file named </t>
    </r>
    <r>
      <rPr>
        <sz val="10"/>
        <color rgb="FFFF0000"/>
        <rFont val="Arial"/>
        <family val="2"/>
      </rPr>
      <t>athletes.csv</t>
    </r>
  </si>
  <si>
    <r>
      <t xml:space="preserve">Copy the data from the resulting </t>
    </r>
    <r>
      <rPr>
        <sz val="10"/>
        <color rgb="FFFF0000"/>
        <rFont val="Arial"/>
        <family val="2"/>
      </rPr>
      <t>output.csv</t>
    </r>
    <r>
      <rPr>
        <sz val="10"/>
        <rFont val="Arial"/>
        <family val="2"/>
      </rPr>
      <t xml:space="preserve"> file to the </t>
    </r>
    <r>
      <rPr>
        <sz val="10"/>
        <color rgb="FF00B0F0"/>
        <rFont val="Arial"/>
        <family val="2"/>
      </rPr>
      <t>fromTF</t>
    </r>
    <r>
      <rPr>
        <sz val="10"/>
        <rFont val="Arial"/>
        <family val="2"/>
      </rPr>
      <t xml:space="preserve"> sheet. </t>
    </r>
  </si>
  <si>
    <t xml:space="preserve">Upload the file to our python notebook and follow instructions there. </t>
  </si>
  <si>
    <t>Age/Weight</t>
  </si>
  <si>
    <t>Set the value of the gender and belt parameters and Age/weight multiplier</t>
  </si>
  <si>
    <t>Age Multiplier</t>
  </si>
  <si>
    <t>Weight Multiplier</t>
  </si>
  <si>
    <t>Male 13-13 YO Black 85-106 lbs</t>
  </si>
  <si>
    <t>Female 12-12 YO Black 66-66 lbs</t>
  </si>
  <si>
    <t>Female 15-24 YO Beg 135-190 lbs</t>
  </si>
  <si>
    <t>Male 7-7 YO Black 45-45 lbs</t>
  </si>
  <si>
    <t>Male 11-12 YO Black 62-75 lbs</t>
  </si>
  <si>
    <t>Male 20-23 YO Int 132-155 lbs</t>
  </si>
  <si>
    <t>Female 14-14 YO Adv 100-100 lbs</t>
  </si>
  <si>
    <t>Male 7-9 YO Beg 57-62 lbs</t>
  </si>
  <si>
    <t>Female 13-13 YO Black 94-94 lbs</t>
  </si>
  <si>
    <t>Male 17-19 YO Beg 150-150 lbs</t>
  </si>
  <si>
    <t>Male 17-18 YO Black 118-125 lbs</t>
  </si>
  <si>
    <t>Male 14-14 YO Beg 190-190 lbs</t>
  </si>
  <si>
    <t>Female 14-14 YO Black 130-130 lbs</t>
  </si>
  <si>
    <t>Male 16-16 YO Black 114-114 lbs</t>
  </si>
  <si>
    <t>Male 31-33 YO Beg 176-180 lbs</t>
  </si>
  <si>
    <t>Male 15-17 YO Beg 125-132 lbs</t>
  </si>
  <si>
    <t>Log Base</t>
  </si>
  <si>
    <t>https://github.com/billpottle/TournamentML/</t>
  </si>
  <si>
    <t>Hello and welcome! Check the github for detailed instructions or email bill@kattaekwondo.com for help</t>
  </si>
  <si>
    <t>https://colab.research.google.com/github/billpottle/TournamentML/blob/master/Division_Generator.ipynb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</si>
</sst>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22"/>
      <name val="Arial"/>
      <family val="2"/>
    </font>
    <font>
      <sz val="8"/>
      <color indexed="12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00B0F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4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0" fillId="0" borderId="2" xfId="0" applyBorder="1"/>
    <xf numFmtId="0" fontId="1" fillId="0" borderId="2" xfId="0" applyFont="1" applyBorder="1"/>
    <xf numFmtId="0" fontId="3" fillId="0" borderId="0" xfId="0" applyFont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9" xfId="0" applyFont="1" applyBorder="1"/>
    <xf numFmtId="0" fontId="0" fillId="0" borderId="9" xfId="0" applyBorder="1"/>
    <xf numFmtId="0" fontId="1" fillId="0" borderId="0" xfId="0" applyFont="1" applyBorder="1"/>
    <xf numFmtId="0" fontId="0" fillId="0" borderId="0" xfId="0" applyBorder="1"/>
    <xf numFmtId="0" fontId="6" fillId="0" borderId="0" xfId="0" applyFont="1"/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7" fillId="0" borderId="0" xfId="0" applyFont="1"/>
    <xf numFmtId="0" fontId="7" fillId="0" borderId="0" xfId="0" applyFont="1" applyAlignment="1">
      <alignment horizontal="right"/>
    </xf>
    <xf numFmtId="0" fontId="6" fillId="0" borderId="2" xfId="0" applyFont="1" applyBorder="1"/>
    <xf numFmtId="0" fontId="8" fillId="0" borderId="0" xfId="1"/>
    <xf numFmtId="0" fontId="9" fillId="2" borderId="2" xfId="0" applyFont="1" applyFill="1" applyBorder="1"/>
    <xf numFmtId="0" fontId="10" fillId="3" borderId="2" xfId="0" applyFont="1" applyFill="1" applyBorder="1"/>
    <xf numFmtId="0" fontId="11" fillId="3" borderId="2" xfId="0" applyFont="1" applyFill="1" applyBorder="1"/>
    <xf numFmtId="0" fontId="1" fillId="4" borderId="2" xfId="0" applyFont="1" applyFill="1" applyBorder="1"/>
    <xf numFmtId="11" fontId="0" fillId="0" borderId="0" xfId="0" applyNumberFormat="1"/>
    <xf numFmtId="0" fontId="0" fillId="5" borderId="2" xfId="0" applyFill="1" applyBorder="1"/>
    <xf numFmtId="0" fontId="9" fillId="0" borderId="2" xfId="0" applyFont="1" applyBorder="1"/>
    <xf numFmtId="0" fontId="0" fillId="6" borderId="2" xfId="0" applyFill="1" applyBorder="1"/>
    <xf numFmtId="0" fontId="6" fillId="5" borderId="2" xfId="0" applyFont="1" applyFill="1" applyBorder="1"/>
    <xf numFmtId="0" fontId="6" fillId="6" borderId="2" xfId="0" applyFont="1" applyFill="1" applyBorder="1"/>
    <xf numFmtId="0" fontId="0" fillId="7" borderId="0" xfId="0" applyFill="1"/>
    <xf numFmtId="0" fontId="2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8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3">
    <dxf>
      <font>
        <strike val="0"/>
        <color rgb="FFFF0000"/>
      </font>
    </dxf>
    <dxf>
      <font>
        <strike val="0"/>
        <color rgb="FFFF000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107950</xdr:rowOff>
        </xdr:from>
        <xdr:to>
          <xdr:col>4</xdr:col>
          <xdr:colOff>508000</xdr:colOff>
          <xdr:row>14</xdr:row>
          <xdr:rowOff>95250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22</xdr:row>
          <xdr:rowOff>63500</xdr:rowOff>
        </xdr:from>
        <xdr:to>
          <xdr:col>3</xdr:col>
          <xdr:colOff>114300</xdr:colOff>
          <xdr:row>23</xdr:row>
          <xdr:rowOff>12700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596900</xdr:colOff>
          <xdr:row>30</xdr:row>
          <xdr:rowOff>152400</xdr:rowOff>
        </xdr:from>
        <xdr:to>
          <xdr:col>2</xdr:col>
          <xdr:colOff>292100</xdr:colOff>
          <xdr:row>32</xdr:row>
          <xdr:rowOff>139700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30</xdr:row>
          <xdr:rowOff>152400</xdr:rowOff>
        </xdr:from>
        <xdr:to>
          <xdr:col>5</xdr:col>
          <xdr:colOff>25400</xdr:colOff>
          <xdr:row>32</xdr:row>
          <xdr:rowOff>139700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30</xdr:row>
          <xdr:rowOff>152400</xdr:rowOff>
        </xdr:from>
        <xdr:to>
          <xdr:col>7</xdr:col>
          <xdr:colOff>508000</xdr:colOff>
          <xdr:row>32</xdr:row>
          <xdr:rowOff>120650</xdr:rowOff>
        </xdr:to>
        <xdr:sp macro="" textlink="">
          <xdr:nvSpPr>
            <xdr:cNvPr id="4102" name="CommandButton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514350</xdr:colOff>
      <xdr:row>3</xdr:row>
      <xdr:rowOff>0</xdr:rowOff>
    </xdr:from>
    <xdr:to>
      <xdr:col>11</xdr:col>
      <xdr:colOff>114300</xdr:colOff>
      <xdr:row>11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1150" y="495300"/>
          <a:ext cx="1428750" cy="14287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</xdr:colOff>
      <xdr:row>18</xdr:row>
      <xdr:rowOff>47625</xdr:rowOff>
    </xdr:from>
    <xdr:to>
      <xdr:col>10</xdr:col>
      <xdr:colOff>9525</xdr:colOff>
      <xdr:row>25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00" y="3762375"/>
          <a:ext cx="1428750" cy="1428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177800</xdr:colOff>
      <xdr:row>2</xdr:row>
      <xdr:rowOff>0</xdr:rowOff>
    </xdr:from>
    <xdr:to>
      <xdr:col>9</xdr:col>
      <xdr:colOff>387350</xdr:colOff>
      <xdr:row>10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5000" y="323850"/>
          <a:ext cx="1428750" cy="1384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image" Target="../media/image4.emf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control" Target="../activeX/activeX4.xml"/><Relationship Id="rId2" Type="http://schemas.openxmlformats.org/officeDocument/2006/relationships/hyperlink" Target="https://github.com/billpottle/TournamentML/" TargetMode="External"/><Relationship Id="rId1" Type="http://schemas.openxmlformats.org/officeDocument/2006/relationships/hyperlink" Target="https://colab.research.google.com/github/billpottle/TournamentML/blob/master/Division_Generator.ipynb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65D6-A01B-4A61-A42C-0411B703BBF2}">
  <sheetPr codeName="Sheet2">
    <tabColor theme="8" tint="0.59999389629810485"/>
  </sheetPr>
  <dimension ref="A1:FF38"/>
  <sheetViews>
    <sheetView workbookViewId="0">
      <selection activeCell="K5" sqref="K5:P5"/>
    </sheetView>
  </sheetViews>
  <sheetFormatPr defaultRowHeight="12.5" x14ac:dyDescent="0.25"/>
  <cols>
    <col min="8" max="14" width="12.26953125" customWidth="1"/>
    <col min="15" max="15" width="19.26953125" customWidth="1"/>
    <col min="16" max="152" width="12.26953125" customWidth="1"/>
    <col min="153" max="153" width="13.54296875" customWidth="1"/>
    <col min="154" max="154" width="10.1796875" customWidth="1"/>
    <col min="155" max="155" width="11.1796875" customWidth="1"/>
  </cols>
  <sheetData>
    <row r="1" spans="1:162" x14ac:dyDescent="0.25">
      <c r="A1" s="21" t="s">
        <v>83</v>
      </c>
    </row>
    <row r="2" spans="1:162" x14ac:dyDescent="0.25">
      <c r="A2" s="27" t="s">
        <v>82</v>
      </c>
    </row>
    <row r="4" spans="1:162" ht="13" x14ac:dyDescent="0.3">
      <c r="A4" s="1" t="s">
        <v>21</v>
      </c>
      <c r="B4" s="21" t="s">
        <v>45</v>
      </c>
      <c r="EY4" s="31" t="s">
        <v>1</v>
      </c>
      <c r="EZ4" s="31" t="s">
        <v>22</v>
      </c>
      <c r="FA4" s="31" t="s">
        <v>2</v>
      </c>
      <c r="FB4" s="31" t="s">
        <v>23</v>
      </c>
      <c r="FC4" s="31" t="s">
        <v>24</v>
      </c>
      <c r="FD4" s="31" t="s">
        <v>25</v>
      </c>
      <c r="FE4" s="1"/>
      <c r="FF4" s="21"/>
    </row>
    <row r="5" spans="1:162" x14ac:dyDescent="0.25">
      <c r="B5" s="21" t="s">
        <v>47</v>
      </c>
      <c r="K5" s="36" t="s">
        <v>1</v>
      </c>
      <c r="L5" s="36" t="s">
        <v>22</v>
      </c>
      <c r="M5" s="36" t="s">
        <v>56</v>
      </c>
      <c r="N5" s="36" t="s">
        <v>23</v>
      </c>
      <c r="O5" s="36" t="s">
        <v>24</v>
      </c>
      <c r="P5" s="36" t="s">
        <v>25</v>
      </c>
      <c r="EY5" s="4" t="s">
        <v>26</v>
      </c>
      <c r="EZ5" s="4">
        <v>120</v>
      </c>
      <c r="FA5" s="4" t="s">
        <v>27</v>
      </c>
      <c r="FB5" s="4" t="s">
        <v>32</v>
      </c>
      <c r="FC5" s="4">
        <v>17</v>
      </c>
      <c r="FD5" s="4" t="s">
        <v>33</v>
      </c>
    </row>
    <row r="6" spans="1:162" x14ac:dyDescent="0.25">
      <c r="B6" s="21" t="s">
        <v>46</v>
      </c>
      <c r="K6" s="34" t="s">
        <v>57</v>
      </c>
      <c r="L6" s="34">
        <v>115</v>
      </c>
      <c r="M6" s="34" t="s">
        <v>27</v>
      </c>
      <c r="N6" s="34" t="s">
        <v>32</v>
      </c>
      <c r="O6" s="34">
        <v>19</v>
      </c>
      <c r="P6" s="34" t="s">
        <v>33</v>
      </c>
    </row>
    <row r="7" spans="1:162" x14ac:dyDescent="0.25">
      <c r="B7" s="21" t="s">
        <v>48</v>
      </c>
    </row>
    <row r="9" spans="1:162" ht="13" x14ac:dyDescent="0.3">
      <c r="A9" s="1" t="s">
        <v>35</v>
      </c>
      <c r="B9" s="21" t="s">
        <v>62</v>
      </c>
      <c r="K9" s="33" t="s">
        <v>54</v>
      </c>
      <c r="L9" s="33" t="s">
        <v>55</v>
      </c>
      <c r="M9" s="33" t="s">
        <v>25</v>
      </c>
      <c r="N9" s="33" t="s">
        <v>55</v>
      </c>
      <c r="O9" s="33" t="s">
        <v>61</v>
      </c>
      <c r="P9" s="33" t="s">
        <v>55</v>
      </c>
      <c r="EY9" s="29" t="s">
        <v>28</v>
      </c>
      <c r="EZ9" s="30"/>
      <c r="FA9" s="29" t="s">
        <v>25</v>
      </c>
      <c r="FB9" s="30"/>
    </row>
    <row r="10" spans="1:162" x14ac:dyDescent="0.25">
      <c r="B10" s="21" t="s">
        <v>36</v>
      </c>
      <c r="K10" s="35" t="s">
        <v>29</v>
      </c>
      <c r="L10" s="34">
        <v>0</v>
      </c>
      <c r="M10" s="35" t="s">
        <v>34</v>
      </c>
      <c r="N10" s="34">
        <v>0</v>
      </c>
      <c r="O10" s="35" t="s">
        <v>63</v>
      </c>
      <c r="P10" s="34">
        <v>7</v>
      </c>
      <c r="EY10" s="4" t="s">
        <v>29</v>
      </c>
      <c r="EZ10" s="28">
        <v>0</v>
      </c>
      <c r="FA10" s="4" t="s">
        <v>34</v>
      </c>
      <c r="FB10" s="28">
        <v>0</v>
      </c>
    </row>
    <row r="11" spans="1:162" x14ac:dyDescent="0.25">
      <c r="B11" s="21" t="s">
        <v>44</v>
      </c>
      <c r="K11" s="35" t="s">
        <v>30</v>
      </c>
      <c r="L11" s="34">
        <v>5</v>
      </c>
      <c r="M11" s="35" t="s">
        <v>33</v>
      </c>
      <c r="N11" s="34">
        <v>10</v>
      </c>
      <c r="O11" s="35" t="s">
        <v>64</v>
      </c>
      <c r="P11" s="34">
        <v>7</v>
      </c>
      <c r="EY11" s="4" t="s">
        <v>30</v>
      </c>
      <c r="EZ11" s="28">
        <v>5</v>
      </c>
      <c r="FA11" s="4" t="s">
        <v>33</v>
      </c>
      <c r="FB11" s="28">
        <v>10</v>
      </c>
    </row>
    <row r="12" spans="1:162" x14ac:dyDescent="0.25">
      <c r="B12" s="21" t="s">
        <v>38</v>
      </c>
      <c r="K12" s="35" t="s">
        <v>31</v>
      </c>
      <c r="L12" s="34">
        <v>10</v>
      </c>
      <c r="EY12" s="4" t="s">
        <v>31</v>
      </c>
      <c r="EZ12" s="28">
        <v>10</v>
      </c>
    </row>
    <row r="13" spans="1:162" x14ac:dyDescent="0.25">
      <c r="K13" s="35" t="s">
        <v>32</v>
      </c>
      <c r="L13" s="34">
        <v>20</v>
      </c>
      <c r="N13" s="37" t="s">
        <v>81</v>
      </c>
      <c r="O13" s="34">
        <v>1.5</v>
      </c>
      <c r="EY13" s="4" t="s">
        <v>32</v>
      </c>
      <c r="EZ13" s="28">
        <v>20</v>
      </c>
    </row>
    <row r="15" spans="1:162" ht="13" x14ac:dyDescent="0.3">
      <c r="A15" s="1"/>
      <c r="B15" s="21"/>
    </row>
    <row r="17" spans="1:4" ht="13" x14ac:dyDescent="0.3">
      <c r="A17" s="1" t="s">
        <v>37</v>
      </c>
      <c r="B17" s="21" t="s">
        <v>58</v>
      </c>
    </row>
    <row r="18" spans="1:4" x14ac:dyDescent="0.25">
      <c r="B18" s="21" t="s">
        <v>60</v>
      </c>
      <c r="D18" s="27"/>
    </row>
    <row r="19" spans="1:4" x14ac:dyDescent="0.25">
      <c r="B19" s="27" t="s">
        <v>84</v>
      </c>
    </row>
    <row r="20" spans="1:4" x14ac:dyDescent="0.25">
      <c r="B20" s="21" t="s">
        <v>59</v>
      </c>
    </row>
    <row r="21" spans="1:4" ht="18.5" customHeight="1" x14ac:dyDescent="0.25"/>
    <row r="22" spans="1:4" ht="13" x14ac:dyDescent="0.3">
      <c r="A22" s="1" t="s">
        <v>39</v>
      </c>
      <c r="B22" s="21" t="s">
        <v>41</v>
      </c>
    </row>
    <row r="23" spans="1:4" ht="30.5" customHeight="1" x14ac:dyDescent="0.25"/>
    <row r="25" spans="1:4" ht="13" x14ac:dyDescent="0.3">
      <c r="A25" s="1" t="s">
        <v>40</v>
      </c>
      <c r="B25" s="21" t="s">
        <v>49</v>
      </c>
    </row>
    <row r="26" spans="1:4" x14ac:dyDescent="0.25">
      <c r="B26" s="21" t="s">
        <v>50</v>
      </c>
    </row>
    <row r="27" spans="1:4" ht="20" customHeight="1" x14ac:dyDescent="0.25">
      <c r="B27" s="21" t="s">
        <v>42</v>
      </c>
    </row>
    <row r="28" spans="1:4" ht="13" x14ac:dyDescent="0.3">
      <c r="A28" s="1"/>
      <c r="B28" s="21" t="s">
        <v>43</v>
      </c>
    </row>
    <row r="29" spans="1:4" x14ac:dyDescent="0.25">
      <c r="B29" s="21" t="s">
        <v>51</v>
      </c>
    </row>
    <row r="37" spans="2:2" x14ac:dyDescent="0.25">
      <c r="B37" s="21" t="s">
        <v>52</v>
      </c>
    </row>
    <row r="38" spans="2:2" x14ac:dyDescent="0.25">
      <c r="B38" s="21" t="s">
        <v>53</v>
      </c>
    </row>
  </sheetData>
  <sortState ref="F1:F36">
    <sortCondition ref="F1"/>
  </sortState>
  <hyperlinks>
    <hyperlink ref="B19" r:id="rId1" xr:uid="{1AE664F1-1471-4FCA-B06C-CEA92DF75D78}"/>
    <hyperlink ref="A2" r:id="rId2" xr:uid="{3AD73D94-06F7-47F4-B951-585D4119CA58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4102" r:id="rId6" name="CommandButton6">
          <controlPr defaultSize="0" autoLine="0" r:id="rId7">
            <anchor moveWithCells="1">
              <from>
                <xdr:col>5</xdr:col>
                <xdr:colOff>133350</xdr:colOff>
                <xdr:row>30</xdr:row>
                <xdr:rowOff>152400</xdr:rowOff>
              </from>
              <to>
                <xdr:col>7</xdr:col>
                <xdr:colOff>508000</xdr:colOff>
                <xdr:row>32</xdr:row>
                <xdr:rowOff>120650</xdr:rowOff>
              </to>
            </anchor>
          </controlPr>
        </control>
      </mc:Choice>
      <mc:Fallback>
        <control shapeId="4102" r:id="rId6" name="CommandButton6"/>
      </mc:Fallback>
    </mc:AlternateContent>
    <mc:AlternateContent xmlns:mc="http://schemas.openxmlformats.org/markup-compatibility/2006">
      <mc:Choice Requires="x14">
        <control shapeId="4101" r:id="rId8" name="CommandButton5">
          <controlPr defaultSize="0" autoLine="0" r:id="rId9">
            <anchor moveWithCells="1">
              <from>
                <xdr:col>2</xdr:col>
                <xdr:colOff>400050</xdr:colOff>
                <xdr:row>30</xdr:row>
                <xdr:rowOff>152400</xdr:rowOff>
              </from>
              <to>
                <xdr:col>5</xdr:col>
                <xdr:colOff>25400</xdr:colOff>
                <xdr:row>32</xdr:row>
                <xdr:rowOff>139700</xdr:rowOff>
              </to>
            </anchor>
          </controlPr>
        </control>
      </mc:Choice>
      <mc:Fallback>
        <control shapeId="4101" r:id="rId8" name="CommandButton5"/>
      </mc:Fallback>
    </mc:AlternateContent>
    <mc:AlternateContent xmlns:mc="http://schemas.openxmlformats.org/markup-compatibility/2006">
      <mc:Choice Requires="x14">
        <control shapeId="4100" r:id="rId10" name="CommandButton4">
          <controlPr defaultSize="0" autoLine="0" r:id="rId11">
            <anchor moveWithCells="1">
              <from>
                <xdr:col>0</xdr:col>
                <xdr:colOff>596900</xdr:colOff>
                <xdr:row>30</xdr:row>
                <xdr:rowOff>152400</xdr:rowOff>
              </from>
              <to>
                <xdr:col>2</xdr:col>
                <xdr:colOff>292100</xdr:colOff>
                <xdr:row>32</xdr:row>
                <xdr:rowOff>139700</xdr:rowOff>
              </to>
            </anchor>
          </controlPr>
        </control>
      </mc:Choice>
      <mc:Fallback>
        <control shapeId="4100" r:id="rId10" name="CommandButton4"/>
      </mc:Fallback>
    </mc:AlternateContent>
    <mc:AlternateContent xmlns:mc="http://schemas.openxmlformats.org/markup-compatibility/2006">
      <mc:Choice Requires="x14">
        <control shapeId="4099" r:id="rId12" name="CommandButton3">
          <controlPr defaultSize="0" autoLine="0" r:id="rId13">
            <anchor moveWithCells="1">
              <from>
                <xdr:col>1</xdr:col>
                <xdr:colOff>6350</xdr:colOff>
                <xdr:row>22</xdr:row>
                <xdr:rowOff>63500</xdr:rowOff>
              </from>
              <to>
                <xdr:col>3</xdr:col>
                <xdr:colOff>114300</xdr:colOff>
                <xdr:row>23</xdr:row>
                <xdr:rowOff>12700</xdr:rowOff>
              </to>
            </anchor>
          </controlPr>
        </control>
      </mc:Choice>
      <mc:Fallback>
        <control shapeId="4099" r:id="rId12" name="CommandButton3"/>
      </mc:Fallback>
    </mc:AlternateContent>
    <mc:AlternateContent xmlns:mc="http://schemas.openxmlformats.org/markup-compatibility/2006">
      <mc:Choice Requires="x14">
        <control shapeId="4097" r:id="rId14" name="CommandButton1">
          <controlPr defaultSize="0" autoLine="0" r:id="rId15">
            <anchor moveWithCells="1">
              <from>
                <xdr:col>1</xdr:col>
                <xdr:colOff>0</xdr:colOff>
                <xdr:row>12</xdr:row>
                <xdr:rowOff>107950</xdr:rowOff>
              </from>
              <to>
                <xdr:col>4</xdr:col>
                <xdr:colOff>508000</xdr:colOff>
                <xdr:row>14</xdr:row>
                <xdr:rowOff>95250</xdr:rowOff>
              </to>
            </anchor>
          </controlPr>
        </control>
      </mc:Choice>
      <mc:Fallback>
        <control shapeId="4097" r:id="rId1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708CF-B65D-48D7-AD12-0E61CEB0EE7D}">
  <sheetPr codeName="Sheet4"/>
  <dimension ref="A1:F165"/>
  <sheetViews>
    <sheetView workbookViewId="0">
      <selection activeCell="H29" sqref="H29"/>
    </sheetView>
  </sheetViews>
  <sheetFormatPr defaultRowHeight="12.5" x14ac:dyDescent="0.25"/>
  <cols>
    <col min="1" max="1" width="13.7265625" style="20" customWidth="1"/>
    <col min="2" max="16384" width="8.7265625" style="20"/>
  </cols>
  <sheetData>
    <row r="1" spans="1:6" x14ac:dyDescent="0.25">
      <c r="A1" s="36" t="s">
        <v>1</v>
      </c>
      <c r="B1" s="36" t="s">
        <v>22</v>
      </c>
      <c r="C1" s="36" t="s">
        <v>56</v>
      </c>
      <c r="D1" s="36" t="s">
        <v>23</v>
      </c>
      <c r="E1" s="36" t="s">
        <v>24</v>
      </c>
      <c r="F1" s="36" t="s">
        <v>25</v>
      </c>
    </row>
    <row r="2" spans="1:6" x14ac:dyDescent="0.25">
      <c r="A2"/>
      <c r="B2"/>
      <c r="C2"/>
      <c r="D2"/>
      <c r="E2"/>
      <c r="F2"/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 s="21"/>
      <c r="E45"/>
      <c r="F45"/>
    </row>
    <row r="46" spans="1:6" x14ac:dyDescent="0.25">
      <c r="A46"/>
      <c r="B46"/>
      <c r="C46"/>
      <c r="D46" s="21"/>
      <c r="E46"/>
      <c r="F46"/>
    </row>
    <row r="47" spans="1:6" x14ac:dyDescent="0.25">
      <c r="A47"/>
      <c r="B47"/>
      <c r="C47"/>
      <c r="D47" s="21"/>
      <c r="E47"/>
      <c r="F47"/>
    </row>
    <row r="48" spans="1:6" x14ac:dyDescent="0.25">
      <c r="A48"/>
      <c r="B48"/>
      <c r="C48"/>
      <c r="D48" s="21"/>
      <c r="E48"/>
      <c r="F48"/>
    </row>
    <row r="49" spans="1:6" x14ac:dyDescent="0.25">
      <c r="A49"/>
      <c r="B49"/>
      <c r="C49"/>
      <c r="D49" s="21"/>
      <c r="E49"/>
      <c r="F49"/>
    </row>
    <row r="50" spans="1:6" x14ac:dyDescent="0.25">
      <c r="A50"/>
      <c r="B50"/>
      <c r="C50"/>
      <c r="D50" s="21"/>
      <c r="E50"/>
      <c r="F50"/>
    </row>
    <row r="51" spans="1:6" x14ac:dyDescent="0.25">
      <c r="A51"/>
      <c r="B51"/>
      <c r="C51"/>
      <c r="D51" s="21"/>
      <c r="E51"/>
      <c r="F51"/>
    </row>
    <row r="52" spans="1:6" x14ac:dyDescent="0.25">
      <c r="A52"/>
      <c r="B52"/>
      <c r="C52"/>
      <c r="D52" s="21"/>
      <c r="E52"/>
      <c r="F52"/>
    </row>
    <row r="53" spans="1:6" x14ac:dyDescent="0.25">
      <c r="A53"/>
      <c r="B53"/>
      <c r="C53"/>
      <c r="D53" s="21"/>
      <c r="E53"/>
      <c r="F53"/>
    </row>
    <row r="54" spans="1:6" x14ac:dyDescent="0.25">
      <c r="A54"/>
      <c r="B54"/>
      <c r="C54"/>
      <c r="D54" s="21"/>
      <c r="E54"/>
      <c r="F54"/>
    </row>
    <row r="55" spans="1:6" x14ac:dyDescent="0.25">
      <c r="A55"/>
      <c r="B55"/>
      <c r="C55"/>
      <c r="D55" s="21"/>
      <c r="E55"/>
      <c r="F55"/>
    </row>
    <row r="56" spans="1:6" x14ac:dyDescent="0.25">
      <c r="A56"/>
      <c r="B56"/>
      <c r="C56"/>
      <c r="D56" s="21"/>
      <c r="E56"/>
      <c r="F56"/>
    </row>
    <row r="57" spans="1:6" x14ac:dyDescent="0.25">
      <c r="A57"/>
      <c r="B57"/>
      <c r="C57"/>
      <c r="D57" s="21"/>
      <c r="E57"/>
      <c r="F57"/>
    </row>
    <row r="58" spans="1:6" x14ac:dyDescent="0.25">
      <c r="A58"/>
      <c r="B58"/>
      <c r="C58"/>
      <c r="D58" s="21"/>
      <c r="E58"/>
      <c r="F58"/>
    </row>
    <row r="59" spans="1:6" x14ac:dyDescent="0.25">
      <c r="A59"/>
      <c r="B59"/>
      <c r="C59"/>
      <c r="D59" s="21"/>
      <c r="E59"/>
      <c r="F59"/>
    </row>
    <row r="60" spans="1:6" x14ac:dyDescent="0.25">
      <c r="A60"/>
      <c r="B60"/>
      <c r="C60"/>
      <c r="D60" s="21"/>
      <c r="E60"/>
      <c r="F60"/>
    </row>
    <row r="61" spans="1:6" x14ac:dyDescent="0.25">
      <c r="A61"/>
      <c r="B61"/>
      <c r="C61"/>
      <c r="D61" s="21"/>
      <c r="E61"/>
      <c r="F61"/>
    </row>
    <row r="62" spans="1:6" x14ac:dyDescent="0.25">
      <c r="A62"/>
      <c r="B62"/>
      <c r="C62"/>
      <c r="D62" s="21"/>
      <c r="E62"/>
      <c r="F62"/>
    </row>
    <row r="63" spans="1:6" x14ac:dyDescent="0.25">
      <c r="A63"/>
      <c r="B63"/>
      <c r="C63"/>
      <c r="D63" s="21"/>
      <c r="E63"/>
      <c r="F63"/>
    </row>
    <row r="64" spans="1:6" x14ac:dyDescent="0.25">
      <c r="A64"/>
      <c r="B64"/>
      <c r="C64"/>
      <c r="D64" s="21"/>
      <c r="E64"/>
      <c r="F64"/>
    </row>
    <row r="65" spans="1:6" x14ac:dyDescent="0.25">
      <c r="A65"/>
      <c r="B65"/>
      <c r="C65"/>
      <c r="D65" s="21"/>
      <c r="E65"/>
      <c r="F65"/>
    </row>
    <row r="66" spans="1:6" x14ac:dyDescent="0.25">
      <c r="A66"/>
      <c r="B66"/>
      <c r="C66"/>
      <c r="D66" s="21"/>
      <c r="E66"/>
      <c r="F66"/>
    </row>
    <row r="67" spans="1:6" x14ac:dyDescent="0.25">
      <c r="A67"/>
      <c r="B67"/>
      <c r="C67"/>
      <c r="D67" s="21"/>
      <c r="E67"/>
      <c r="F67"/>
    </row>
    <row r="68" spans="1:6" x14ac:dyDescent="0.25">
      <c r="A68"/>
      <c r="B68"/>
      <c r="C68"/>
      <c r="D68" s="21"/>
      <c r="E68"/>
      <c r="F68"/>
    </row>
    <row r="69" spans="1:6" x14ac:dyDescent="0.25">
      <c r="A69"/>
      <c r="B69"/>
      <c r="C69"/>
      <c r="D69" s="21"/>
      <c r="E69"/>
      <c r="F69"/>
    </row>
    <row r="70" spans="1:6" x14ac:dyDescent="0.25">
      <c r="A70"/>
      <c r="B70"/>
      <c r="C70"/>
      <c r="D70" s="21"/>
      <c r="E70"/>
      <c r="F70"/>
    </row>
    <row r="71" spans="1:6" x14ac:dyDescent="0.25">
      <c r="A71"/>
      <c r="B71"/>
      <c r="C71"/>
      <c r="D71" s="21"/>
      <c r="E71"/>
      <c r="F71"/>
    </row>
    <row r="72" spans="1:6" x14ac:dyDescent="0.25">
      <c r="A72"/>
      <c r="B72"/>
      <c r="C72"/>
      <c r="D72" s="21"/>
      <c r="E72"/>
      <c r="F72"/>
    </row>
    <row r="73" spans="1:6" x14ac:dyDescent="0.25">
      <c r="A73"/>
      <c r="B73"/>
      <c r="C73"/>
      <c r="D73" s="21"/>
      <c r="E73"/>
      <c r="F73"/>
    </row>
    <row r="74" spans="1:6" x14ac:dyDescent="0.25">
      <c r="A74"/>
      <c r="B74"/>
      <c r="C74"/>
      <c r="D74" s="21"/>
      <c r="E74"/>
      <c r="F74"/>
    </row>
    <row r="75" spans="1:6" x14ac:dyDescent="0.25">
      <c r="A75"/>
      <c r="B75"/>
      <c r="C75"/>
      <c r="D75" s="21"/>
      <c r="E75"/>
      <c r="F75"/>
    </row>
    <row r="76" spans="1:6" x14ac:dyDescent="0.25">
      <c r="A76"/>
      <c r="B76"/>
      <c r="C76"/>
      <c r="D76" s="21"/>
      <c r="E76"/>
      <c r="F76"/>
    </row>
    <row r="77" spans="1:6" x14ac:dyDescent="0.25">
      <c r="A77"/>
      <c r="B77"/>
      <c r="C77"/>
      <c r="D77" s="21"/>
      <c r="E77"/>
      <c r="F77"/>
    </row>
    <row r="78" spans="1:6" x14ac:dyDescent="0.25">
      <c r="A78"/>
      <c r="B78"/>
      <c r="C78"/>
      <c r="D78" s="21"/>
      <c r="E78"/>
      <c r="F78"/>
    </row>
    <row r="79" spans="1:6" x14ac:dyDescent="0.25">
      <c r="A79"/>
      <c r="B79"/>
      <c r="C79"/>
      <c r="D79" s="21"/>
      <c r="E79"/>
      <c r="F79"/>
    </row>
    <row r="80" spans="1:6" x14ac:dyDescent="0.25">
      <c r="A80"/>
      <c r="B80"/>
      <c r="C80"/>
      <c r="D80" s="21"/>
      <c r="E80"/>
      <c r="F80"/>
    </row>
    <row r="81" spans="1:6" x14ac:dyDescent="0.25">
      <c r="A81"/>
      <c r="B81"/>
      <c r="C81"/>
      <c r="D81" s="21"/>
      <c r="E81"/>
      <c r="F81"/>
    </row>
    <row r="82" spans="1:6" x14ac:dyDescent="0.25">
      <c r="A82"/>
      <c r="B82"/>
      <c r="C82"/>
      <c r="D82" s="21"/>
      <c r="E82"/>
      <c r="F82"/>
    </row>
    <row r="83" spans="1:6" x14ac:dyDescent="0.25">
      <c r="A83"/>
      <c r="B83"/>
      <c r="C83"/>
      <c r="D83" s="21"/>
      <c r="E83"/>
      <c r="F83"/>
    </row>
    <row r="84" spans="1:6" x14ac:dyDescent="0.25">
      <c r="A84"/>
      <c r="B84"/>
      <c r="C84"/>
      <c r="D84" s="21"/>
      <c r="E84"/>
      <c r="F84"/>
    </row>
    <row r="85" spans="1:6" x14ac:dyDescent="0.25">
      <c r="A85"/>
      <c r="B85"/>
      <c r="C85"/>
      <c r="D85" s="21"/>
      <c r="E85"/>
      <c r="F85"/>
    </row>
    <row r="86" spans="1:6" x14ac:dyDescent="0.25">
      <c r="A86"/>
      <c r="B86"/>
      <c r="C86"/>
      <c r="D86" s="21"/>
      <c r="E86"/>
      <c r="F86"/>
    </row>
    <row r="87" spans="1:6" x14ac:dyDescent="0.25">
      <c r="A87"/>
      <c r="B87"/>
      <c r="C87"/>
      <c r="D87" s="21"/>
      <c r="E87"/>
      <c r="F87"/>
    </row>
    <row r="88" spans="1:6" x14ac:dyDescent="0.25">
      <c r="A88"/>
      <c r="B88"/>
      <c r="C88"/>
      <c r="D88" s="21"/>
      <c r="E88"/>
      <c r="F88"/>
    </row>
    <row r="89" spans="1:6" x14ac:dyDescent="0.25">
      <c r="A89"/>
      <c r="B89"/>
      <c r="C89"/>
      <c r="D89" s="21"/>
      <c r="E89"/>
      <c r="F89"/>
    </row>
    <row r="90" spans="1:6" x14ac:dyDescent="0.25">
      <c r="A90"/>
      <c r="B90"/>
      <c r="C90"/>
      <c r="D90" s="21"/>
      <c r="E90"/>
      <c r="F90"/>
    </row>
    <row r="91" spans="1:6" x14ac:dyDescent="0.25">
      <c r="A91"/>
      <c r="B91"/>
      <c r="C91"/>
      <c r="D91" s="21"/>
      <c r="E91"/>
      <c r="F91"/>
    </row>
    <row r="92" spans="1:6" x14ac:dyDescent="0.25">
      <c r="A92"/>
      <c r="B92"/>
      <c r="C92"/>
      <c r="D92" s="21"/>
      <c r="E92"/>
      <c r="F92"/>
    </row>
    <row r="93" spans="1:6" x14ac:dyDescent="0.25">
      <c r="A93"/>
      <c r="B93"/>
      <c r="C93"/>
      <c r="D93" s="21"/>
      <c r="E93"/>
      <c r="F93"/>
    </row>
    <row r="94" spans="1:6" x14ac:dyDescent="0.25">
      <c r="A94"/>
      <c r="B94"/>
      <c r="C94"/>
      <c r="D94" s="21"/>
      <c r="E94"/>
      <c r="F94"/>
    </row>
    <row r="95" spans="1:6" x14ac:dyDescent="0.25">
      <c r="A95"/>
      <c r="B95"/>
      <c r="C95"/>
      <c r="D95" s="21"/>
      <c r="E95"/>
      <c r="F95"/>
    </row>
    <row r="96" spans="1:6" x14ac:dyDescent="0.25">
      <c r="A96"/>
      <c r="B96"/>
      <c r="C96"/>
      <c r="D96" s="21"/>
      <c r="E96"/>
      <c r="F96"/>
    </row>
    <row r="97" spans="1:6" x14ac:dyDescent="0.25">
      <c r="A97"/>
      <c r="B97"/>
      <c r="C97"/>
      <c r="D97" s="21"/>
      <c r="E97"/>
      <c r="F97"/>
    </row>
    <row r="98" spans="1:6" x14ac:dyDescent="0.25">
      <c r="A98"/>
      <c r="B98"/>
      <c r="C98"/>
      <c r="D98" s="21"/>
      <c r="E98"/>
      <c r="F98"/>
    </row>
    <row r="99" spans="1:6" x14ac:dyDescent="0.25">
      <c r="A99"/>
      <c r="B99"/>
      <c r="C99"/>
      <c r="D99" s="21"/>
      <c r="E99"/>
      <c r="F99"/>
    </row>
    <row r="100" spans="1:6" x14ac:dyDescent="0.25">
      <c r="A100"/>
      <c r="B100"/>
      <c r="C100"/>
      <c r="D100" s="21"/>
      <c r="E100"/>
      <c r="F100"/>
    </row>
    <row r="101" spans="1:6" x14ac:dyDescent="0.25">
      <c r="A101"/>
      <c r="B101"/>
      <c r="C101"/>
      <c r="D101" s="21"/>
      <c r="E101"/>
      <c r="F101"/>
    </row>
    <row r="102" spans="1:6" x14ac:dyDescent="0.25">
      <c r="A102"/>
      <c r="B102"/>
      <c r="C102"/>
      <c r="D102" s="21"/>
      <c r="E102"/>
      <c r="F102"/>
    </row>
    <row r="103" spans="1:6" x14ac:dyDescent="0.25">
      <c r="A103"/>
      <c r="B103"/>
      <c r="C103"/>
      <c r="D103" s="21"/>
      <c r="E103"/>
      <c r="F103"/>
    </row>
    <row r="104" spans="1:6" x14ac:dyDescent="0.25">
      <c r="A104"/>
      <c r="B104"/>
      <c r="C104"/>
      <c r="D104" s="21"/>
      <c r="E104"/>
      <c r="F104"/>
    </row>
    <row r="105" spans="1:6" x14ac:dyDescent="0.25">
      <c r="A105"/>
      <c r="B105"/>
      <c r="C105"/>
      <c r="D105" s="21"/>
      <c r="E105"/>
      <c r="F105"/>
    </row>
    <row r="106" spans="1:6" x14ac:dyDescent="0.25">
      <c r="A106"/>
      <c r="B106"/>
      <c r="C106"/>
      <c r="D106" s="21"/>
      <c r="E106"/>
      <c r="F106"/>
    </row>
    <row r="107" spans="1:6" x14ac:dyDescent="0.25">
      <c r="A107"/>
      <c r="B107"/>
      <c r="C107"/>
      <c r="D107" s="21"/>
      <c r="E107"/>
      <c r="F107"/>
    </row>
    <row r="108" spans="1:6" x14ac:dyDescent="0.25">
      <c r="A108"/>
      <c r="B108"/>
      <c r="C108"/>
      <c r="D108" s="21"/>
      <c r="E108"/>
      <c r="F108"/>
    </row>
    <row r="109" spans="1:6" x14ac:dyDescent="0.25">
      <c r="A109"/>
      <c r="B109"/>
      <c r="C109"/>
      <c r="D109" s="21"/>
      <c r="E109"/>
      <c r="F109"/>
    </row>
    <row r="110" spans="1:6" x14ac:dyDescent="0.25">
      <c r="A110"/>
      <c r="B110"/>
      <c r="C110"/>
      <c r="D110" s="21"/>
      <c r="E110"/>
      <c r="F110"/>
    </row>
    <row r="111" spans="1:6" x14ac:dyDescent="0.25">
      <c r="A111"/>
      <c r="B111"/>
      <c r="C111"/>
      <c r="D111" s="21"/>
      <c r="E111"/>
      <c r="F111"/>
    </row>
    <row r="112" spans="1:6" x14ac:dyDescent="0.25">
      <c r="A112"/>
      <c r="B112"/>
      <c r="C112"/>
      <c r="D112" s="21"/>
      <c r="E112"/>
      <c r="F112"/>
    </row>
    <row r="113" spans="1:6" x14ac:dyDescent="0.25">
      <c r="A113"/>
      <c r="B113"/>
      <c r="C113"/>
      <c r="D113" s="21"/>
      <c r="E113"/>
      <c r="F113"/>
    </row>
    <row r="114" spans="1:6" x14ac:dyDescent="0.25">
      <c r="A114"/>
      <c r="B114"/>
      <c r="C114"/>
      <c r="D114" s="21"/>
      <c r="E114"/>
      <c r="F114"/>
    </row>
    <row r="115" spans="1:6" x14ac:dyDescent="0.25">
      <c r="A115"/>
      <c r="B115"/>
      <c r="C115"/>
      <c r="D115" s="21"/>
      <c r="E115"/>
      <c r="F115"/>
    </row>
    <row r="116" spans="1:6" x14ac:dyDescent="0.25">
      <c r="A116"/>
      <c r="B116"/>
      <c r="C116"/>
      <c r="D116" s="21"/>
      <c r="E116"/>
      <c r="F116"/>
    </row>
    <row r="117" spans="1:6" x14ac:dyDescent="0.25">
      <c r="A117" s="38"/>
      <c r="B117" s="38"/>
      <c r="C117" s="38"/>
      <c r="D117" s="21"/>
      <c r="E117" s="38"/>
      <c r="F117" s="38"/>
    </row>
    <row r="118" spans="1:6" x14ac:dyDescent="0.25">
      <c r="A118"/>
      <c r="B118"/>
      <c r="C118"/>
      <c r="D118" s="21"/>
      <c r="E118"/>
      <c r="F118"/>
    </row>
    <row r="119" spans="1:6" x14ac:dyDescent="0.25">
      <c r="A119"/>
      <c r="B119"/>
      <c r="C119"/>
      <c r="D119" s="21"/>
      <c r="E119"/>
      <c r="F119"/>
    </row>
    <row r="120" spans="1:6" x14ac:dyDescent="0.25">
      <c r="A120"/>
      <c r="B120"/>
      <c r="C120"/>
      <c r="D120" s="21"/>
      <c r="E120"/>
      <c r="F120"/>
    </row>
    <row r="121" spans="1:6" x14ac:dyDescent="0.25">
      <c r="A121"/>
      <c r="B121"/>
      <c r="C121"/>
      <c r="D121" s="21"/>
      <c r="E121"/>
      <c r="F121"/>
    </row>
    <row r="122" spans="1:6" x14ac:dyDescent="0.25">
      <c r="A122"/>
      <c r="B122"/>
      <c r="C122"/>
      <c r="D122" s="21"/>
      <c r="E122"/>
      <c r="F122"/>
    </row>
    <row r="123" spans="1:6" x14ac:dyDescent="0.25">
      <c r="A123"/>
      <c r="B123"/>
      <c r="C123"/>
      <c r="D123" s="21"/>
      <c r="E123"/>
      <c r="F123"/>
    </row>
    <row r="124" spans="1:6" x14ac:dyDescent="0.25">
      <c r="A124"/>
      <c r="B124"/>
      <c r="C124"/>
      <c r="D124" s="21"/>
      <c r="E124"/>
      <c r="F124"/>
    </row>
    <row r="125" spans="1:6" x14ac:dyDescent="0.25">
      <c r="A125"/>
      <c r="B125"/>
      <c r="C125"/>
      <c r="D125" s="21"/>
      <c r="E125"/>
      <c r="F125"/>
    </row>
    <row r="126" spans="1:6" x14ac:dyDescent="0.25">
      <c r="A126"/>
      <c r="B126"/>
      <c r="C126"/>
      <c r="D126" s="21"/>
      <c r="E126"/>
      <c r="F126"/>
    </row>
    <row r="127" spans="1:6" x14ac:dyDescent="0.25">
      <c r="A127"/>
      <c r="B127"/>
      <c r="C127"/>
      <c r="D127" s="21"/>
      <c r="E127"/>
      <c r="F127"/>
    </row>
    <row r="128" spans="1:6" x14ac:dyDescent="0.25">
      <c r="A128"/>
      <c r="B128"/>
      <c r="C128"/>
      <c r="D128" s="21"/>
      <c r="E128"/>
      <c r="F128"/>
    </row>
    <row r="129" spans="1:6" x14ac:dyDescent="0.25">
      <c r="A129"/>
      <c r="B129"/>
      <c r="C129"/>
      <c r="D129" s="21"/>
      <c r="E129"/>
      <c r="F129"/>
    </row>
    <row r="130" spans="1:6" x14ac:dyDescent="0.25">
      <c r="A130"/>
      <c r="B130"/>
      <c r="C130"/>
      <c r="D130" s="21"/>
      <c r="E130"/>
      <c r="F130"/>
    </row>
    <row r="131" spans="1:6" x14ac:dyDescent="0.25">
      <c r="A131"/>
      <c r="B131"/>
      <c r="C131"/>
      <c r="D131" s="21"/>
      <c r="E131"/>
      <c r="F131"/>
    </row>
    <row r="132" spans="1:6" x14ac:dyDescent="0.25">
      <c r="A132"/>
      <c r="B132"/>
      <c r="C132"/>
      <c r="D132" s="21"/>
      <c r="E132"/>
      <c r="F132"/>
    </row>
    <row r="133" spans="1:6" x14ac:dyDescent="0.25">
      <c r="A133"/>
      <c r="B133"/>
      <c r="C133"/>
      <c r="D133" s="21"/>
      <c r="E133"/>
      <c r="F133"/>
    </row>
    <row r="134" spans="1:6" x14ac:dyDescent="0.25">
      <c r="A134"/>
      <c r="B134"/>
      <c r="C134"/>
      <c r="D134" s="21"/>
      <c r="E134"/>
      <c r="F134"/>
    </row>
    <row r="135" spans="1:6" x14ac:dyDescent="0.25">
      <c r="A135"/>
      <c r="B135"/>
      <c r="C135"/>
      <c r="D135" s="21"/>
      <c r="E135"/>
      <c r="F135"/>
    </row>
    <row r="136" spans="1:6" x14ac:dyDescent="0.25">
      <c r="A136" s="38"/>
      <c r="B136" s="38"/>
      <c r="C136" s="38"/>
      <c r="D136" s="21"/>
      <c r="E136" s="38"/>
      <c r="F136" s="38"/>
    </row>
    <row r="137" spans="1:6" x14ac:dyDescent="0.25">
      <c r="A137"/>
      <c r="B137"/>
      <c r="C137"/>
      <c r="D137" s="21"/>
      <c r="E137"/>
      <c r="F137"/>
    </row>
    <row r="138" spans="1:6" x14ac:dyDescent="0.25">
      <c r="A138"/>
      <c r="B138"/>
      <c r="C138"/>
      <c r="D138" s="21"/>
      <c r="E138"/>
      <c r="F138"/>
    </row>
    <row r="139" spans="1:6" x14ac:dyDescent="0.25">
      <c r="A139"/>
      <c r="B139"/>
      <c r="C139"/>
      <c r="D139" s="21"/>
      <c r="E139"/>
      <c r="F139"/>
    </row>
    <row r="140" spans="1:6" x14ac:dyDescent="0.25">
      <c r="A140"/>
      <c r="B140"/>
      <c r="C140"/>
      <c r="D140" s="21"/>
      <c r="E140"/>
      <c r="F140"/>
    </row>
    <row r="141" spans="1:6" x14ac:dyDescent="0.25">
      <c r="A141"/>
      <c r="B141"/>
      <c r="C141"/>
      <c r="D141" s="21"/>
      <c r="E141"/>
      <c r="F141"/>
    </row>
    <row r="142" spans="1:6" x14ac:dyDescent="0.25">
      <c r="A142"/>
      <c r="B142"/>
      <c r="C142"/>
      <c r="D142" s="21"/>
      <c r="E142"/>
      <c r="F142"/>
    </row>
    <row r="143" spans="1:6" x14ac:dyDescent="0.25">
      <c r="A143"/>
      <c r="B143"/>
      <c r="C143"/>
      <c r="D143" s="21"/>
      <c r="E143"/>
      <c r="F143"/>
    </row>
    <row r="144" spans="1:6" x14ac:dyDescent="0.25">
      <c r="A144"/>
      <c r="B144"/>
      <c r="C144"/>
      <c r="D144" s="21"/>
      <c r="E144"/>
      <c r="F144"/>
    </row>
    <row r="145" spans="1:6" x14ac:dyDescent="0.25">
      <c r="A145"/>
      <c r="B145"/>
      <c r="C145"/>
      <c r="D145" s="21"/>
      <c r="E145"/>
      <c r="F145"/>
    </row>
    <row r="146" spans="1:6" x14ac:dyDescent="0.25">
      <c r="A146"/>
      <c r="B146"/>
      <c r="C146"/>
      <c r="D146" s="21"/>
      <c r="E146"/>
      <c r="F146"/>
    </row>
    <row r="147" spans="1:6" x14ac:dyDescent="0.25">
      <c r="A147"/>
      <c r="B147"/>
      <c r="C147"/>
      <c r="D147" s="21"/>
      <c r="E147"/>
      <c r="F147"/>
    </row>
    <row r="148" spans="1:6" x14ac:dyDescent="0.25">
      <c r="A148"/>
      <c r="B148"/>
      <c r="C148"/>
      <c r="D148" s="21"/>
      <c r="E148"/>
      <c r="F148"/>
    </row>
    <row r="149" spans="1:6" x14ac:dyDescent="0.25">
      <c r="A149"/>
      <c r="B149"/>
      <c r="C149"/>
      <c r="D149" s="21"/>
      <c r="E149"/>
      <c r="F149"/>
    </row>
    <row r="150" spans="1:6" x14ac:dyDescent="0.25">
      <c r="A150"/>
      <c r="B150"/>
      <c r="C150"/>
      <c r="D150" s="21"/>
      <c r="E150"/>
      <c r="F150"/>
    </row>
    <row r="151" spans="1:6" x14ac:dyDescent="0.25">
      <c r="A151"/>
      <c r="B151"/>
      <c r="C151"/>
      <c r="D151" s="21"/>
      <c r="E151"/>
      <c r="F151"/>
    </row>
    <row r="152" spans="1:6" x14ac:dyDescent="0.25">
      <c r="A152"/>
      <c r="B152"/>
      <c r="C152"/>
      <c r="D152" s="21"/>
      <c r="E152"/>
      <c r="F152"/>
    </row>
    <row r="153" spans="1:6" x14ac:dyDescent="0.25">
      <c r="A153"/>
      <c r="B153"/>
      <c r="C153"/>
      <c r="D153" s="21"/>
      <c r="E153"/>
      <c r="F153"/>
    </row>
    <row r="154" spans="1:6" x14ac:dyDescent="0.25">
      <c r="A154"/>
      <c r="B154"/>
      <c r="C154"/>
      <c r="D154" s="21"/>
      <c r="E154"/>
      <c r="F154"/>
    </row>
    <row r="155" spans="1:6" x14ac:dyDescent="0.25">
      <c r="A155"/>
      <c r="B155"/>
      <c r="C155"/>
      <c r="D155" s="21"/>
      <c r="E155"/>
      <c r="F155"/>
    </row>
    <row r="156" spans="1:6" x14ac:dyDescent="0.25">
      <c r="A156"/>
      <c r="B156"/>
      <c r="C156"/>
      <c r="D156" s="21"/>
      <c r="E156"/>
      <c r="F156"/>
    </row>
    <row r="157" spans="1:6" x14ac:dyDescent="0.25">
      <c r="A157"/>
      <c r="B157"/>
      <c r="C157"/>
      <c r="D157" s="21"/>
      <c r="E157"/>
      <c r="F157"/>
    </row>
    <row r="158" spans="1:6" x14ac:dyDescent="0.25">
      <c r="A158"/>
      <c r="B158"/>
      <c r="C158"/>
      <c r="D158" s="21"/>
      <c r="E158"/>
      <c r="F158"/>
    </row>
    <row r="159" spans="1:6" x14ac:dyDescent="0.25">
      <c r="A159"/>
      <c r="B159"/>
      <c r="C159"/>
      <c r="D159" s="21"/>
      <c r="E159"/>
      <c r="F159"/>
    </row>
    <row r="160" spans="1:6" x14ac:dyDescent="0.25">
      <c r="A160"/>
      <c r="B160"/>
      <c r="C160"/>
      <c r="D160" s="21"/>
      <c r="E160"/>
      <c r="F160"/>
    </row>
    <row r="161" spans="1:6" x14ac:dyDescent="0.25">
      <c r="A161"/>
      <c r="B161"/>
      <c r="C161"/>
      <c r="D161" s="21"/>
      <c r="E161"/>
      <c r="F161"/>
    </row>
    <row r="162" spans="1:6" x14ac:dyDescent="0.25">
      <c r="A162"/>
      <c r="B162"/>
      <c r="C162"/>
      <c r="D162" s="21"/>
      <c r="E162"/>
      <c r="F162"/>
    </row>
    <row r="163" spans="1:6" x14ac:dyDescent="0.25">
      <c r="A163"/>
      <c r="B163"/>
      <c r="C163"/>
      <c r="D163" s="21"/>
      <c r="E163"/>
      <c r="F163"/>
    </row>
    <row r="164" spans="1:6" x14ac:dyDescent="0.25">
      <c r="A164"/>
      <c r="B164"/>
      <c r="C164"/>
      <c r="D164" s="21"/>
      <c r="E164"/>
      <c r="F164"/>
    </row>
    <row r="165" spans="1:6" x14ac:dyDescent="0.25">
      <c r="A165"/>
      <c r="B165"/>
      <c r="C165"/>
      <c r="D165" s="21"/>
      <c r="E165"/>
      <c r="F165"/>
    </row>
  </sheetData>
  <sortState ref="A2:F165">
    <sortCondition ref="D2"/>
  </sortState>
  <conditionalFormatting sqref="F49">
    <cfRule type="containsText" dxfId="2" priority="1" operator="containsText" text="YES">
      <formula>NOT(ISERROR(SEARCH("YES",F49)))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A609E-9558-4C65-B7C9-F02A3371C619}">
  <sheetPr codeName="Sheet5"/>
  <dimension ref="A1"/>
  <sheetViews>
    <sheetView workbookViewId="0">
      <selection activeCell="J21" sqref="A1:XFD1048576"/>
    </sheetView>
  </sheetViews>
  <sheetFormatPr defaultRowHeight="12.5" x14ac:dyDescent="0.25"/>
  <cols>
    <col min="3" max="3" width="12.08984375" customWidth="1"/>
    <col min="4" max="4" width="11.363281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3D3FB-3188-4E9A-BC04-3F8EB4B9C36D}">
  <sheetPr codeName="Sheet6"/>
  <dimension ref="G18:G70"/>
  <sheetViews>
    <sheetView workbookViewId="0">
      <selection sqref="A1:XFD1048576"/>
    </sheetView>
  </sheetViews>
  <sheetFormatPr defaultRowHeight="12.5" x14ac:dyDescent="0.25"/>
  <sheetData>
    <row r="18" spans="7:7" x14ac:dyDescent="0.25">
      <c r="G18" s="32"/>
    </row>
    <row r="43" spans="7:7" x14ac:dyDescent="0.25">
      <c r="G43" s="32"/>
    </row>
    <row r="47" spans="7:7" x14ac:dyDescent="0.25">
      <c r="G47" s="32"/>
    </row>
    <row r="61" spans="7:7" x14ac:dyDescent="0.25">
      <c r="G61" s="32"/>
    </row>
    <row r="67" spans="7:7" x14ac:dyDescent="0.25">
      <c r="G67" s="32"/>
    </row>
    <row r="69" spans="7:7" x14ac:dyDescent="0.25">
      <c r="G69" s="32"/>
    </row>
    <row r="70" spans="7:7" x14ac:dyDescent="0.25">
      <c r="G7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56:L561"/>
  <sheetViews>
    <sheetView topLeftCell="A40" zoomScale="115" zoomScaleNormal="115" workbookViewId="0">
      <selection activeCell="D57" sqref="A1:G176"/>
    </sheetView>
  </sheetViews>
  <sheetFormatPr defaultColWidth="9.1796875" defaultRowHeight="15" customHeight="1" x14ac:dyDescent="0.25"/>
  <cols>
    <col min="1" max="1" width="13.26953125" style="4" customWidth="1"/>
    <col min="2" max="16384" width="9.1796875" style="4"/>
  </cols>
  <sheetData>
    <row r="356" spans="9:12" ht="15" customHeight="1" x14ac:dyDescent="0.25">
      <c r="I356" s="4">
        <f>LN(50)</f>
        <v>3.912023005428146</v>
      </c>
      <c r="J356" s="4">
        <f>LOG(50)</f>
        <v>1.6989700043360187</v>
      </c>
      <c r="L356" s="4">
        <f>LOG(50,1.5)</f>
        <v>9.6482358831836912</v>
      </c>
    </row>
    <row r="359" spans="9:12" ht="15" customHeight="1" x14ac:dyDescent="0.25">
      <c r="I359" s="26">
        <f>LN(10)</f>
        <v>2.3025850929940459</v>
      </c>
      <c r="J359" s="4">
        <f>LOG(10)</f>
        <v>1</v>
      </c>
      <c r="L359" s="4">
        <f>LOG(10,1.5)</f>
        <v>5.6788735872675735</v>
      </c>
    </row>
    <row r="546" spans="1:1" ht="15" customHeight="1" x14ac:dyDescent="0.25">
      <c r="A546" s="4" t="s">
        <v>65</v>
      </c>
    </row>
    <row r="547" spans="1:1" ht="15" customHeight="1" x14ac:dyDescent="0.25">
      <c r="A547" s="4" t="s">
        <v>66</v>
      </c>
    </row>
    <row r="548" spans="1:1" ht="15" customHeight="1" x14ac:dyDescent="0.25">
      <c r="A548" s="4" t="s">
        <v>67</v>
      </c>
    </row>
    <row r="549" spans="1:1" ht="15" customHeight="1" x14ac:dyDescent="0.25">
      <c r="A549" s="4" t="s">
        <v>68</v>
      </c>
    </row>
    <row r="550" spans="1:1" ht="15" customHeight="1" x14ac:dyDescent="0.25">
      <c r="A550" s="4" t="s">
        <v>69</v>
      </c>
    </row>
    <row r="551" spans="1:1" ht="15" customHeight="1" x14ac:dyDescent="0.25">
      <c r="A551" s="4" t="s">
        <v>70</v>
      </c>
    </row>
    <row r="552" spans="1:1" ht="15" customHeight="1" x14ac:dyDescent="0.25">
      <c r="A552" s="4" t="s">
        <v>71</v>
      </c>
    </row>
    <row r="553" spans="1:1" ht="15" customHeight="1" x14ac:dyDescent="0.25">
      <c r="A553" s="4" t="s">
        <v>72</v>
      </c>
    </row>
    <row r="554" spans="1:1" ht="15" customHeight="1" x14ac:dyDescent="0.25">
      <c r="A554" s="4" t="s">
        <v>73</v>
      </c>
    </row>
    <row r="555" spans="1:1" ht="15" customHeight="1" x14ac:dyDescent="0.25">
      <c r="A555" s="4" t="s">
        <v>74</v>
      </c>
    </row>
    <row r="556" spans="1:1" ht="15" customHeight="1" x14ac:dyDescent="0.25">
      <c r="A556" s="4" t="s">
        <v>75</v>
      </c>
    </row>
    <row r="557" spans="1:1" ht="15" customHeight="1" x14ac:dyDescent="0.25">
      <c r="A557" s="4" t="s">
        <v>76</v>
      </c>
    </row>
    <row r="558" spans="1:1" ht="15" customHeight="1" x14ac:dyDescent="0.25">
      <c r="A558" s="4" t="s">
        <v>77</v>
      </c>
    </row>
    <row r="559" spans="1:1" ht="15" customHeight="1" x14ac:dyDescent="0.25">
      <c r="A559" s="4" t="s">
        <v>78</v>
      </c>
    </row>
    <row r="560" spans="1:1" ht="15" customHeight="1" x14ac:dyDescent="0.25">
      <c r="A560" s="4" t="s">
        <v>79</v>
      </c>
    </row>
    <row r="561" spans="1:1" ht="15" customHeight="1" x14ac:dyDescent="0.25">
      <c r="A561" s="4" t="s">
        <v>80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pageSetUpPr fitToPage="1"/>
  </sheetPr>
  <dimension ref="A2:J53"/>
  <sheetViews>
    <sheetView tabSelected="1" zoomScaleNormal="100" workbookViewId="0">
      <selection activeCell="I57" sqref="I57"/>
    </sheetView>
  </sheetViews>
  <sheetFormatPr defaultRowHeight="12.5" x14ac:dyDescent="0.25"/>
  <sheetData>
    <row r="2" spans="1:10" ht="13" thickBot="1" x14ac:dyDescent="0.3">
      <c r="A2" s="2"/>
      <c r="B2" s="40"/>
      <c r="C2" s="40"/>
    </row>
    <row r="3" spans="1:10" x14ac:dyDescent="0.25">
      <c r="A3" s="2"/>
      <c r="B3" s="39"/>
      <c r="C3" s="42"/>
    </row>
    <row r="4" spans="1:10" ht="13" thickBot="1" x14ac:dyDescent="0.3">
      <c r="A4" s="2"/>
      <c r="B4" s="2"/>
      <c r="C4" s="3">
        <v>1</v>
      </c>
      <c r="D4" s="46"/>
      <c r="E4" s="40"/>
      <c r="F4" s="2"/>
      <c r="G4" s="2"/>
      <c r="H4" s="2"/>
      <c r="I4" s="2"/>
      <c r="J4" s="2"/>
    </row>
    <row r="5" spans="1:10" x14ac:dyDescent="0.25">
      <c r="A5" s="2"/>
      <c r="B5" s="2"/>
      <c r="C5" s="3"/>
      <c r="D5" s="47"/>
      <c r="E5" s="48"/>
      <c r="F5" s="2"/>
      <c r="G5" s="2"/>
      <c r="H5" s="2"/>
      <c r="I5" s="2"/>
      <c r="J5" s="2"/>
    </row>
    <row r="6" spans="1:10" ht="13" thickBot="1" x14ac:dyDescent="0.3">
      <c r="A6" s="2"/>
      <c r="B6" s="45"/>
      <c r="C6" s="44"/>
      <c r="D6" s="2"/>
      <c r="E6" s="3"/>
      <c r="F6" s="2"/>
      <c r="G6" s="2"/>
      <c r="H6" s="2"/>
      <c r="I6" s="2"/>
      <c r="J6" s="2"/>
    </row>
    <row r="7" spans="1:10" x14ac:dyDescent="0.25">
      <c r="A7" s="2"/>
      <c r="B7" s="39"/>
      <c r="C7" s="39"/>
      <c r="D7" s="2"/>
      <c r="E7" s="3"/>
      <c r="F7" s="2"/>
      <c r="G7" s="2"/>
      <c r="H7" s="2"/>
      <c r="I7" s="2"/>
      <c r="J7" s="2"/>
    </row>
    <row r="8" spans="1:10" ht="13" thickBot="1" x14ac:dyDescent="0.3">
      <c r="A8" s="2"/>
      <c r="B8" s="2"/>
      <c r="C8" s="2"/>
      <c r="D8" s="2"/>
      <c r="E8" s="3">
        <v>7</v>
      </c>
      <c r="F8" s="46"/>
      <c r="G8" s="40"/>
      <c r="H8" s="2"/>
      <c r="I8" s="2"/>
      <c r="J8" s="2"/>
    </row>
    <row r="9" spans="1:10" ht="13" thickBot="1" x14ac:dyDescent="0.3">
      <c r="A9" s="2"/>
      <c r="B9" s="40"/>
      <c r="C9" s="40"/>
      <c r="D9" s="2"/>
      <c r="E9" s="3"/>
      <c r="F9" s="41"/>
      <c r="G9" s="42"/>
      <c r="H9" s="2"/>
      <c r="I9" s="2"/>
      <c r="J9" s="2"/>
    </row>
    <row r="10" spans="1:10" x14ac:dyDescent="0.25">
      <c r="A10" s="2"/>
      <c r="B10" s="39"/>
      <c r="C10" s="42"/>
      <c r="D10" s="2"/>
      <c r="E10" s="3"/>
      <c r="F10" s="2"/>
      <c r="G10" s="3"/>
      <c r="H10" s="2"/>
      <c r="I10" s="2"/>
      <c r="J10" s="2"/>
    </row>
    <row r="11" spans="1:10" ht="13" thickBot="1" x14ac:dyDescent="0.3">
      <c r="A11" s="2"/>
      <c r="B11" s="2"/>
      <c r="C11" s="3">
        <v>2</v>
      </c>
      <c r="D11" s="43"/>
      <c r="E11" s="44"/>
      <c r="F11" s="2"/>
      <c r="G11" s="3"/>
      <c r="H11" s="2"/>
      <c r="I11" s="2"/>
      <c r="J11" s="2"/>
    </row>
    <row r="12" spans="1:10" x14ac:dyDescent="0.25">
      <c r="A12" s="2"/>
      <c r="B12" s="2"/>
      <c r="C12" s="3"/>
      <c r="D12" s="41"/>
      <c r="E12" s="39"/>
      <c r="F12" s="2"/>
      <c r="G12" s="3"/>
      <c r="H12" s="2"/>
      <c r="I12" s="2"/>
      <c r="J12" s="2"/>
    </row>
    <row r="13" spans="1:10" ht="13" thickBot="1" x14ac:dyDescent="0.3">
      <c r="A13" s="2"/>
      <c r="B13" s="45"/>
      <c r="C13" s="44"/>
      <c r="D13" s="2"/>
      <c r="E13" s="2"/>
      <c r="F13" s="2"/>
      <c r="G13" s="3"/>
      <c r="H13" s="2"/>
      <c r="I13" s="2"/>
      <c r="J13" s="2"/>
    </row>
    <row r="14" spans="1:10" x14ac:dyDescent="0.25">
      <c r="A14" s="2"/>
      <c r="B14" s="39"/>
      <c r="C14" s="39"/>
      <c r="D14" s="2"/>
      <c r="E14" s="2"/>
      <c r="F14" s="2"/>
      <c r="G14" s="3"/>
      <c r="H14" s="2"/>
      <c r="I14" s="2"/>
      <c r="J14" s="2"/>
    </row>
    <row r="15" spans="1:10" ht="13" thickBot="1" x14ac:dyDescent="0.3">
      <c r="A15" s="2"/>
      <c r="B15" s="2"/>
      <c r="C15" s="2"/>
      <c r="D15" s="2"/>
      <c r="E15" s="2"/>
      <c r="F15" s="2"/>
      <c r="G15" s="3">
        <v>11</v>
      </c>
      <c r="H15" s="43"/>
      <c r="I15" s="45"/>
      <c r="J15" s="2"/>
    </row>
    <row r="16" spans="1:10" ht="13" thickBot="1" x14ac:dyDescent="0.3">
      <c r="A16" s="2"/>
      <c r="B16" s="40"/>
      <c r="C16" s="40"/>
      <c r="D16" s="2"/>
      <c r="E16" s="2"/>
      <c r="F16" s="2"/>
      <c r="G16" s="3"/>
      <c r="H16" s="41"/>
      <c r="I16" s="39"/>
      <c r="J16" s="2"/>
    </row>
    <row r="17" spans="1:10" x14ac:dyDescent="0.25">
      <c r="A17" s="2"/>
      <c r="B17" s="39"/>
      <c r="C17" s="42"/>
      <c r="D17" s="2"/>
      <c r="E17" s="2"/>
      <c r="F17" s="2"/>
      <c r="G17" s="3"/>
      <c r="H17" s="2"/>
      <c r="I17" s="2"/>
      <c r="J17" s="2"/>
    </row>
    <row r="18" spans="1:10" ht="13" thickBot="1" x14ac:dyDescent="0.3">
      <c r="A18" s="2"/>
      <c r="B18" s="2"/>
      <c r="C18" s="3">
        <v>3</v>
      </c>
      <c r="D18" s="46"/>
      <c r="E18" s="40"/>
      <c r="F18" s="2"/>
      <c r="G18" s="3"/>
      <c r="H18" s="2"/>
      <c r="I18" s="2"/>
      <c r="J18" s="2"/>
    </row>
    <row r="19" spans="1:10" x14ac:dyDescent="0.25">
      <c r="A19" s="2"/>
      <c r="B19" s="2"/>
      <c r="C19" s="3"/>
      <c r="D19" s="41"/>
      <c r="E19" s="42"/>
      <c r="F19" s="2"/>
      <c r="G19" s="3"/>
      <c r="H19" s="2"/>
      <c r="I19" s="2"/>
      <c r="J19" s="2"/>
    </row>
    <row r="20" spans="1:10" ht="13" thickBot="1" x14ac:dyDescent="0.3">
      <c r="A20" s="2"/>
      <c r="B20" s="45"/>
      <c r="C20" s="44"/>
      <c r="D20" s="2"/>
      <c r="E20" s="3"/>
      <c r="F20" s="2"/>
      <c r="G20" s="3"/>
      <c r="H20" s="2"/>
      <c r="I20" s="2"/>
      <c r="J20" s="2"/>
    </row>
    <row r="21" spans="1:10" x14ac:dyDescent="0.25">
      <c r="A21" s="2"/>
      <c r="B21" s="39"/>
      <c r="C21" s="39"/>
      <c r="D21" s="2"/>
      <c r="E21" s="3"/>
      <c r="F21" s="2"/>
      <c r="G21" s="3"/>
      <c r="H21" s="2"/>
      <c r="I21" s="2"/>
      <c r="J21" s="2"/>
    </row>
    <row r="22" spans="1:10" ht="13" thickBot="1" x14ac:dyDescent="0.3">
      <c r="A22" s="2"/>
      <c r="B22" s="2"/>
      <c r="C22" s="2"/>
      <c r="D22" s="2"/>
      <c r="E22" s="3">
        <v>8</v>
      </c>
      <c r="F22" s="43"/>
      <c r="G22" s="44"/>
      <c r="H22" s="2"/>
      <c r="I22" s="2"/>
      <c r="J22" s="2"/>
    </row>
    <row r="23" spans="1:10" ht="13" thickBot="1" x14ac:dyDescent="0.3">
      <c r="A23" s="2"/>
      <c r="B23" s="40"/>
      <c r="C23" s="40"/>
      <c r="D23" s="2"/>
      <c r="E23" s="3"/>
      <c r="F23" s="41"/>
      <c r="G23" s="39"/>
      <c r="H23" s="2"/>
      <c r="I23" s="2"/>
      <c r="J23" s="2"/>
    </row>
    <row r="24" spans="1:10" x14ac:dyDescent="0.25">
      <c r="A24" s="2"/>
      <c r="B24" s="39"/>
      <c r="C24" s="42"/>
      <c r="D24" s="2"/>
      <c r="E24" s="3"/>
      <c r="F24" s="2"/>
      <c r="G24" s="2"/>
      <c r="H24" s="24" t="s">
        <v>16</v>
      </c>
      <c r="I24" s="2"/>
      <c r="J24" s="2"/>
    </row>
    <row r="25" spans="1:10" ht="13" thickBot="1" x14ac:dyDescent="0.3">
      <c r="A25" s="2"/>
      <c r="B25" s="2"/>
      <c r="C25" s="3">
        <v>4</v>
      </c>
      <c r="D25" s="43"/>
      <c r="E25" s="44"/>
      <c r="F25" s="2"/>
      <c r="G25" s="2"/>
      <c r="H25" s="24" t="s">
        <v>17</v>
      </c>
      <c r="I25" s="2"/>
      <c r="J25" s="2"/>
    </row>
    <row r="26" spans="1:10" x14ac:dyDescent="0.25">
      <c r="A26" s="2"/>
      <c r="B26" s="2"/>
      <c r="C26" s="3"/>
      <c r="D26" s="41"/>
      <c r="E26" s="39"/>
      <c r="F26" s="2"/>
      <c r="G26" s="2"/>
      <c r="H26" s="2"/>
      <c r="I26" s="2"/>
      <c r="J26" s="2"/>
    </row>
    <row r="27" spans="1:10" ht="13" thickBot="1" x14ac:dyDescent="0.3">
      <c r="A27" s="2"/>
      <c r="B27" s="45"/>
      <c r="C27" s="44"/>
      <c r="D27" s="2"/>
      <c r="E27" s="2"/>
      <c r="F27" s="2"/>
      <c r="G27" s="2"/>
      <c r="H27" s="2"/>
      <c r="I27" s="2"/>
      <c r="J27" s="2"/>
    </row>
    <row r="28" spans="1:10" x14ac:dyDescent="0.25">
      <c r="A28" s="2"/>
      <c r="B28" s="39"/>
      <c r="C28" s="39"/>
      <c r="D28" s="2"/>
      <c r="E28" s="2"/>
      <c r="F28" s="2"/>
      <c r="G28" s="2"/>
      <c r="H28" s="2"/>
      <c r="I28" s="2"/>
      <c r="J28" s="2"/>
    </row>
    <row r="29" spans="1:10" ht="27.5" x14ac:dyDescent="0.55000000000000004">
      <c r="A29" s="2"/>
      <c r="B29" s="6" t="s">
        <v>20</v>
      </c>
      <c r="C29" s="2"/>
      <c r="D29" s="2"/>
      <c r="E29" s="2"/>
      <c r="F29" s="2"/>
      <c r="G29" s="2"/>
      <c r="H29" s="2"/>
      <c r="I29" s="2"/>
      <c r="J29" s="2"/>
    </row>
    <row r="30" spans="1:10" ht="13" thickBot="1" x14ac:dyDescent="0.3">
      <c r="C30" s="21" t="s">
        <v>13</v>
      </c>
      <c r="D30" s="12"/>
      <c r="E30" s="13"/>
      <c r="F30" s="2"/>
      <c r="G30" s="2"/>
      <c r="H30" s="2"/>
      <c r="I30" s="2"/>
    </row>
    <row r="31" spans="1:10" x14ac:dyDescent="0.25">
      <c r="D31" s="15"/>
      <c r="E31" s="16"/>
      <c r="F31" s="2"/>
      <c r="G31" s="2"/>
      <c r="H31" s="2"/>
      <c r="I31" s="2"/>
    </row>
    <row r="32" spans="1:10" x14ac:dyDescent="0.25">
      <c r="D32" s="2"/>
      <c r="E32" s="3"/>
      <c r="F32" s="2"/>
      <c r="G32" s="2"/>
      <c r="H32" s="2"/>
      <c r="I32" s="2"/>
    </row>
    <row r="33" spans="1:10" x14ac:dyDescent="0.25">
      <c r="C33" s="21" t="s">
        <v>18</v>
      </c>
      <c r="D33" s="2"/>
      <c r="E33" s="3"/>
      <c r="F33" s="2"/>
      <c r="G33" s="2"/>
      <c r="H33" s="2"/>
      <c r="I33" s="2"/>
    </row>
    <row r="34" spans="1:10" ht="13" thickBot="1" x14ac:dyDescent="0.3">
      <c r="D34" s="2"/>
      <c r="E34" s="3">
        <v>9</v>
      </c>
      <c r="F34" s="12"/>
      <c r="G34" s="13"/>
      <c r="H34" s="2"/>
      <c r="I34" s="2"/>
    </row>
    <row r="35" spans="1:10" ht="13" thickBot="1" x14ac:dyDescent="0.3">
      <c r="A35" s="22" t="s">
        <v>9</v>
      </c>
      <c r="B35" s="13"/>
      <c r="C35" s="13"/>
      <c r="D35" s="2"/>
      <c r="E35" s="3"/>
      <c r="F35" s="9"/>
      <c r="G35" s="14"/>
      <c r="H35" s="2"/>
      <c r="I35" s="2"/>
    </row>
    <row r="36" spans="1:10" ht="12.75" customHeight="1" x14ac:dyDescent="0.25">
      <c r="A36" s="23"/>
      <c r="B36" s="10"/>
      <c r="C36" s="14"/>
      <c r="D36" s="2"/>
      <c r="E36" s="3"/>
      <c r="F36" s="2"/>
      <c r="G36" s="3"/>
      <c r="H36" s="2"/>
      <c r="I36" s="2"/>
    </row>
    <row r="37" spans="1:10" ht="13.5" customHeight="1" thickBot="1" x14ac:dyDescent="0.3">
      <c r="A37" s="23"/>
      <c r="B37" s="2"/>
      <c r="C37" s="3">
        <v>5</v>
      </c>
      <c r="D37" s="7"/>
      <c r="E37" s="8"/>
      <c r="F37" s="2"/>
      <c r="G37" s="3"/>
      <c r="H37" s="25" t="s">
        <v>15</v>
      </c>
      <c r="I37" s="13"/>
      <c r="J37" s="13"/>
    </row>
    <row r="38" spans="1:10" x14ac:dyDescent="0.25">
      <c r="A38" s="23"/>
      <c r="B38" s="2"/>
      <c r="C38" s="3"/>
      <c r="D38" s="9"/>
      <c r="E38" s="10"/>
      <c r="F38" s="2"/>
      <c r="G38" s="3"/>
      <c r="H38" s="2"/>
      <c r="I38" s="10"/>
      <c r="J38" s="14"/>
    </row>
    <row r="39" spans="1:10" ht="13" thickBot="1" x14ac:dyDescent="0.3">
      <c r="A39" s="22" t="s">
        <v>10</v>
      </c>
      <c r="B39" s="11"/>
      <c r="C39" s="8"/>
      <c r="D39" s="2"/>
      <c r="E39" s="2"/>
      <c r="F39" s="2"/>
      <c r="G39" s="3"/>
      <c r="H39" s="2"/>
      <c r="I39" s="2"/>
      <c r="J39" s="3">
        <v>13</v>
      </c>
    </row>
    <row r="40" spans="1:10" x14ac:dyDescent="0.25">
      <c r="A40" s="23"/>
      <c r="B40" s="10"/>
      <c r="C40" s="10"/>
      <c r="D40" s="2"/>
      <c r="E40" s="2"/>
      <c r="F40" s="2"/>
      <c r="G40" s="3"/>
      <c r="H40" s="2"/>
      <c r="I40" s="2"/>
      <c r="J40" s="3"/>
    </row>
    <row r="41" spans="1:10" ht="13" thickBot="1" x14ac:dyDescent="0.3">
      <c r="A41" s="23"/>
      <c r="D41" s="2"/>
      <c r="E41" s="2"/>
      <c r="F41" s="2"/>
      <c r="G41" s="3">
        <v>12</v>
      </c>
      <c r="H41" s="7"/>
      <c r="I41" s="11"/>
      <c r="J41" s="8"/>
    </row>
    <row r="42" spans="1:10" ht="13" thickBot="1" x14ac:dyDescent="0.3">
      <c r="A42" s="22" t="s">
        <v>11</v>
      </c>
      <c r="B42" s="13"/>
      <c r="C42" s="13"/>
      <c r="D42" s="2"/>
      <c r="E42" s="2"/>
      <c r="F42" s="2"/>
      <c r="G42" s="3"/>
      <c r="H42" s="9"/>
      <c r="I42" s="10"/>
      <c r="J42" s="10"/>
    </row>
    <row r="43" spans="1:10" x14ac:dyDescent="0.25">
      <c r="A43" s="23"/>
      <c r="B43" s="10"/>
      <c r="C43" s="14"/>
      <c r="D43" s="2"/>
      <c r="E43" s="2"/>
      <c r="F43" s="2"/>
      <c r="G43" s="3"/>
      <c r="H43" s="2"/>
      <c r="I43" s="2"/>
    </row>
    <row r="44" spans="1:10" ht="13" thickBot="1" x14ac:dyDescent="0.3">
      <c r="A44" s="23"/>
      <c r="B44" s="2"/>
      <c r="C44" s="3">
        <v>6</v>
      </c>
      <c r="D44" s="12"/>
      <c r="E44" s="13"/>
      <c r="F44" s="2"/>
      <c r="G44" s="3"/>
      <c r="H44" s="2"/>
      <c r="I44" s="2"/>
    </row>
    <row r="45" spans="1:10" x14ac:dyDescent="0.25">
      <c r="A45" s="23"/>
      <c r="B45" s="2"/>
      <c r="C45" s="3"/>
      <c r="D45" s="9"/>
      <c r="E45" s="14"/>
      <c r="F45" s="2"/>
      <c r="G45" s="3"/>
      <c r="H45" s="2"/>
      <c r="I45" s="2"/>
    </row>
    <row r="46" spans="1:10" ht="13" thickBot="1" x14ac:dyDescent="0.3">
      <c r="A46" s="22" t="s">
        <v>12</v>
      </c>
      <c r="B46" s="11"/>
      <c r="C46" s="8"/>
      <c r="D46" s="2"/>
      <c r="E46" s="3"/>
      <c r="F46" s="2"/>
      <c r="G46" s="3"/>
      <c r="H46" s="2"/>
      <c r="I46" s="2"/>
    </row>
    <row r="47" spans="1:10" x14ac:dyDescent="0.25">
      <c r="B47" s="10"/>
      <c r="C47" s="10"/>
      <c r="D47" s="2"/>
      <c r="E47" s="3"/>
      <c r="F47" s="2"/>
      <c r="G47" s="3"/>
      <c r="H47" s="2"/>
      <c r="I47" s="2"/>
    </row>
    <row r="48" spans="1:10" ht="13" thickBot="1" x14ac:dyDescent="0.3">
      <c r="D48" s="2"/>
      <c r="E48" s="3">
        <v>10</v>
      </c>
      <c r="F48" s="7"/>
      <c r="G48" s="8"/>
      <c r="H48" s="2"/>
      <c r="I48" s="2"/>
    </row>
    <row r="49" spans="3:9" x14ac:dyDescent="0.25">
      <c r="D49" s="2"/>
      <c r="E49" s="3"/>
      <c r="F49" s="9"/>
      <c r="G49" s="10"/>
      <c r="H49" s="2"/>
      <c r="I49" s="2"/>
    </row>
    <row r="50" spans="3:9" x14ac:dyDescent="0.25">
      <c r="D50" s="2"/>
      <c r="E50" s="3"/>
      <c r="F50" s="2"/>
      <c r="G50" s="2"/>
      <c r="H50" s="2"/>
      <c r="I50" s="2"/>
    </row>
    <row r="51" spans="3:9" ht="13" thickBot="1" x14ac:dyDescent="0.3">
      <c r="C51" s="21" t="s">
        <v>14</v>
      </c>
      <c r="D51" s="7"/>
      <c r="E51" s="8"/>
      <c r="F51" s="2"/>
      <c r="G51" s="2"/>
      <c r="H51" s="2"/>
      <c r="I51" s="2"/>
    </row>
    <row r="52" spans="3:9" x14ac:dyDescent="0.25">
      <c r="D52" s="9"/>
      <c r="E52" s="10"/>
      <c r="F52" s="2"/>
      <c r="G52" s="2"/>
      <c r="H52" s="2"/>
      <c r="I52" s="2"/>
    </row>
    <row r="53" spans="3:9" x14ac:dyDescent="0.25">
      <c r="D53" s="2"/>
      <c r="E53" s="2"/>
      <c r="F53" s="2"/>
      <c r="G53" s="2"/>
      <c r="H53" s="2"/>
      <c r="I53" s="2"/>
    </row>
  </sheetData>
  <mergeCells count="30">
    <mergeCell ref="F8:G8"/>
    <mergeCell ref="B9:C9"/>
    <mergeCell ref="F9:G9"/>
    <mergeCell ref="B10:C10"/>
    <mergeCell ref="D11:E11"/>
    <mergeCell ref="B2:C2"/>
    <mergeCell ref="B3:C3"/>
    <mergeCell ref="D4:E4"/>
    <mergeCell ref="D5:E5"/>
    <mergeCell ref="B6:C6"/>
    <mergeCell ref="B7:C7"/>
    <mergeCell ref="F22:G22"/>
    <mergeCell ref="D12:E12"/>
    <mergeCell ref="B13:C13"/>
    <mergeCell ref="B14:C14"/>
    <mergeCell ref="H15:I15"/>
    <mergeCell ref="B16:C16"/>
    <mergeCell ref="H16:I16"/>
    <mergeCell ref="B17:C17"/>
    <mergeCell ref="D18:E18"/>
    <mergeCell ref="D19:E19"/>
    <mergeCell ref="B20:C20"/>
    <mergeCell ref="B21:C21"/>
    <mergeCell ref="B28:C28"/>
    <mergeCell ref="B23:C23"/>
    <mergeCell ref="F23:G23"/>
    <mergeCell ref="B24:C24"/>
    <mergeCell ref="D25:E25"/>
    <mergeCell ref="D26:E26"/>
    <mergeCell ref="B27:C27"/>
  </mergeCells>
  <conditionalFormatting sqref="B6:C6 B13:C13 B20:C20 B27:C27 D11:E11 D25:E25 F22:G22 D37:E37 D51:E51 F48:G48 B39:C39 B46:C46 I41:J41">
    <cfRule type="cellIs" dxfId="1" priority="6" operator="greaterThan">
      <formula>0</formula>
    </cfRule>
  </conditionalFormatting>
  <pageMargins left="0.75" right="0.75" top="1" bottom="1" header="0.5" footer="0.5"/>
  <pageSetup scale="66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B3:M25"/>
  <sheetViews>
    <sheetView zoomScaleNormal="100" workbookViewId="0">
      <selection activeCell="E3" sqref="E3"/>
    </sheetView>
  </sheetViews>
  <sheetFormatPr defaultRowHeight="12.5" x14ac:dyDescent="0.25"/>
  <cols>
    <col min="2" max="2" width="21.7265625" customWidth="1"/>
    <col min="3" max="3" width="22.7265625" customWidth="1"/>
    <col min="4" max="4" width="9.54296875" customWidth="1"/>
    <col min="5" max="5" width="9.1796875" customWidth="1"/>
    <col min="6" max="6" width="8.81640625" customWidth="1"/>
    <col min="7" max="7" width="8.26953125" customWidth="1"/>
    <col min="8" max="8" width="8.7265625" customWidth="1"/>
    <col min="9" max="9" width="12.26953125" customWidth="1"/>
  </cols>
  <sheetData>
    <row r="3" spans="2:13" ht="27.5" x14ac:dyDescent="0.55000000000000004">
      <c r="B3" s="6" t="s">
        <v>19</v>
      </c>
      <c r="E3" s="21"/>
    </row>
    <row r="6" spans="2:13" s="1" customFormat="1" ht="17.149999999999999" customHeight="1" x14ac:dyDescent="0.3">
      <c r="B6" s="5" t="s">
        <v>1</v>
      </c>
      <c r="C6" s="5" t="s">
        <v>2</v>
      </c>
      <c r="D6" s="5" t="s">
        <v>3</v>
      </c>
      <c r="E6" s="5" t="s">
        <v>4</v>
      </c>
      <c r="F6" s="5" t="s">
        <v>5</v>
      </c>
      <c r="G6" s="5" t="s">
        <v>6</v>
      </c>
      <c r="H6" s="5" t="s">
        <v>7</v>
      </c>
      <c r="I6" s="5" t="s">
        <v>0</v>
      </c>
      <c r="J6" s="17" t="s">
        <v>8</v>
      </c>
      <c r="K6" s="19"/>
      <c r="L6" s="19"/>
      <c r="M6" s="19"/>
    </row>
    <row r="7" spans="2:13" ht="17.149999999999999" customHeight="1" x14ac:dyDescent="0.25">
      <c r="B7" s="26"/>
      <c r="C7" s="26"/>
      <c r="D7" s="4"/>
      <c r="E7" s="4"/>
      <c r="F7" s="4"/>
      <c r="G7" s="4"/>
      <c r="H7" s="4"/>
      <c r="I7" s="4"/>
      <c r="J7" s="18"/>
      <c r="K7" s="20"/>
      <c r="L7" s="20"/>
      <c r="M7" s="20"/>
    </row>
    <row r="8" spans="2:13" ht="17.149999999999999" customHeight="1" x14ac:dyDescent="0.25">
      <c r="B8" s="4"/>
      <c r="C8" s="4"/>
      <c r="D8" s="4"/>
      <c r="E8" s="4"/>
      <c r="F8" s="4"/>
      <c r="G8" s="4"/>
      <c r="H8" s="4"/>
      <c r="I8" s="4"/>
      <c r="J8" s="18"/>
      <c r="K8" s="20"/>
      <c r="L8" s="20"/>
      <c r="M8" s="20"/>
    </row>
    <row r="9" spans="2:13" ht="17.149999999999999" customHeight="1" x14ac:dyDescent="0.25">
      <c r="B9" s="4"/>
      <c r="C9" s="4"/>
      <c r="D9" s="4"/>
      <c r="E9" s="4"/>
      <c r="F9" s="4"/>
      <c r="G9" s="4"/>
      <c r="H9" s="4"/>
      <c r="I9" s="4"/>
      <c r="J9" s="18"/>
      <c r="K9" s="20"/>
      <c r="L9" s="20"/>
      <c r="M9" s="20"/>
    </row>
    <row r="10" spans="2:13" ht="17.149999999999999" customHeight="1" x14ac:dyDescent="0.25">
      <c r="B10" s="4"/>
      <c r="C10" s="4"/>
      <c r="D10" s="4"/>
      <c r="E10" s="4"/>
      <c r="F10" s="4"/>
      <c r="G10" s="4"/>
      <c r="H10" s="4"/>
      <c r="I10" s="4"/>
      <c r="J10" s="18"/>
      <c r="K10" s="20"/>
      <c r="L10" s="20"/>
      <c r="M10" s="20"/>
    </row>
    <row r="11" spans="2:13" ht="17.149999999999999" customHeight="1" x14ac:dyDescent="0.25">
      <c r="B11" s="4"/>
      <c r="C11" s="4"/>
      <c r="D11" s="4"/>
      <c r="E11" s="4"/>
      <c r="F11" s="4"/>
      <c r="G11" s="4"/>
      <c r="H11" s="4"/>
      <c r="I11" s="4"/>
      <c r="J11" s="18"/>
      <c r="K11" s="20"/>
      <c r="L11" s="20"/>
      <c r="M11" s="20"/>
    </row>
    <row r="12" spans="2:13" ht="17.149999999999999" customHeight="1" x14ac:dyDescent="0.25">
      <c r="B12" s="4"/>
      <c r="C12" s="4"/>
      <c r="D12" s="4"/>
      <c r="E12" s="4"/>
      <c r="F12" s="4"/>
      <c r="G12" s="4"/>
      <c r="H12" s="4"/>
      <c r="I12" s="4"/>
      <c r="J12" s="18"/>
      <c r="K12" s="20"/>
      <c r="L12" s="20"/>
      <c r="M12" s="20"/>
    </row>
    <row r="13" spans="2:13" ht="17.149999999999999" customHeight="1" x14ac:dyDescent="0.25">
      <c r="B13" s="4"/>
      <c r="C13" s="4"/>
      <c r="D13" s="4"/>
      <c r="E13" s="4"/>
      <c r="F13" s="4"/>
      <c r="G13" s="4"/>
      <c r="H13" s="4"/>
      <c r="I13" s="4"/>
      <c r="J13" s="18"/>
      <c r="K13" s="20"/>
      <c r="L13" s="20"/>
      <c r="M13" s="20"/>
    </row>
    <row r="14" spans="2:13" ht="17.149999999999999" customHeight="1" x14ac:dyDescent="0.25">
      <c r="B14" s="4"/>
      <c r="C14" s="4"/>
      <c r="D14" s="4"/>
      <c r="E14" s="4"/>
      <c r="F14" s="4"/>
      <c r="G14" s="4"/>
      <c r="H14" s="4"/>
      <c r="I14" s="4"/>
      <c r="J14" s="18"/>
      <c r="K14" s="20"/>
      <c r="L14" s="20"/>
      <c r="M14" s="20"/>
    </row>
    <row r="15" spans="2:13" ht="17.149999999999999" customHeight="1" x14ac:dyDescent="0.25">
      <c r="B15" s="4"/>
      <c r="C15" s="4"/>
      <c r="D15" s="4"/>
      <c r="E15" s="4"/>
      <c r="F15" s="4"/>
      <c r="G15" s="4"/>
      <c r="H15" s="4"/>
      <c r="I15" s="4"/>
      <c r="J15" s="18"/>
      <c r="K15" s="20"/>
      <c r="L15" s="20"/>
      <c r="M15" s="20"/>
    </row>
    <row r="16" spans="2:13" ht="17.149999999999999" customHeight="1" x14ac:dyDescent="0.25">
      <c r="B16" s="4"/>
      <c r="C16" s="4"/>
      <c r="D16" s="4"/>
      <c r="E16" s="4"/>
      <c r="F16" s="4"/>
      <c r="G16" s="4"/>
      <c r="H16" s="4"/>
      <c r="I16" s="4"/>
      <c r="J16" s="18"/>
      <c r="K16" s="20"/>
      <c r="L16" s="20"/>
      <c r="M16" s="20"/>
    </row>
    <row r="17" spans="2:13" ht="17.149999999999999" customHeight="1" x14ac:dyDescent="0.25">
      <c r="B17" s="4"/>
      <c r="C17" s="4"/>
      <c r="D17" s="4"/>
      <c r="E17" s="4"/>
      <c r="F17" s="4"/>
      <c r="G17" s="4"/>
      <c r="H17" s="4"/>
      <c r="I17" s="4"/>
      <c r="J17" s="18"/>
      <c r="K17" s="20"/>
      <c r="L17" s="20"/>
      <c r="M17" s="20"/>
    </row>
    <row r="18" spans="2:13" ht="17.149999999999999" customHeight="1" x14ac:dyDescent="0.25">
      <c r="B18" s="4"/>
      <c r="C18" s="4"/>
      <c r="D18" s="4"/>
      <c r="E18" s="4"/>
      <c r="F18" s="4"/>
      <c r="G18" s="4"/>
      <c r="H18" s="4"/>
      <c r="I18" s="4"/>
      <c r="J18" s="18"/>
      <c r="K18" s="20"/>
      <c r="L18" s="20"/>
      <c r="M18" s="20"/>
    </row>
    <row r="19" spans="2:13" ht="17.149999999999999" customHeight="1" x14ac:dyDescent="0.25">
      <c r="B19" s="4"/>
      <c r="C19" s="4"/>
      <c r="D19" s="4"/>
      <c r="E19" s="4"/>
      <c r="F19" s="4"/>
      <c r="G19" s="4"/>
      <c r="H19" s="4"/>
      <c r="I19" s="4"/>
      <c r="J19" s="18"/>
      <c r="K19" s="20"/>
      <c r="L19" s="20"/>
      <c r="M19" s="20"/>
    </row>
    <row r="20" spans="2:13" ht="17.149999999999999" customHeight="1" x14ac:dyDescent="0.25">
      <c r="B20" s="4"/>
      <c r="C20" s="4"/>
      <c r="D20" s="4"/>
      <c r="E20" s="4"/>
      <c r="F20" s="4"/>
      <c r="G20" s="4"/>
      <c r="H20" s="4"/>
      <c r="I20" s="4"/>
      <c r="J20" s="18"/>
      <c r="K20" s="20"/>
      <c r="L20" s="20"/>
      <c r="M20" s="20"/>
    </row>
    <row r="21" spans="2:13" ht="17.149999999999999" customHeight="1" x14ac:dyDescent="0.25">
      <c r="B21" s="4"/>
      <c r="C21" s="4"/>
      <c r="D21" s="4"/>
      <c r="E21" s="4"/>
      <c r="F21" s="4"/>
      <c r="G21" s="4"/>
      <c r="H21" s="4"/>
      <c r="I21" s="4"/>
      <c r="J21" s="18"/>
      <c r="K21" s="20"/>
      <c r="L21" s="20"/>
      <c r="M21" s="20"/>
    </row>
    <row r="22" spans="2:13" ht="17.149999999999999" customHeight="1" x14ac:dyDescent="0.25">
      <c r="B22" s="4"/>
      <c r="C22" s="4"/>
      <c r="D22" s="4"/>
      <c r="E22" s="4"/>
      <c r="F22" s="4"/>
      <c r="G22" s="4"/>
      <c r="H22" s="4"/>
      <c r="I22" s="4"/>
      <c r="J22" s="18"/>
      <c r="K22" s="20"/>
      <c r="L22" s="20"/>
      <c r="M22" s="20"/>
    </row>
    <row r="23" spans="2:13" ht="17.149999999999999" customHeight="1" x14ac:dyDescent="0.25">
      <c r="B23" s="4"/>
      <c r="C23" s="4"/>
      <c r="D23" s="4"/>
      <c r="E23" s="4"/>
      <c r="F23" s="4"/>
      <c r="G23" s="4"/>
      <c r="H23" s="4"/>
      <c r="I23" s="4"/>
      <c r="J23" s="18"/>
      <c r="K23" s="20"/>
      <c r="L23" s="20"/>
      <c r="M23" s="20"/>
    </row>
    <row r="24" spans="2:13" ht="17.149999999999999" customHeight="1" x14ac:dyDescent="0.25">
      <c r="B24" s="4"/>
      <c r="C24" s="4"/>
      <c r="D24" s="4"/>
      <c r="E24" s="4"/>
      <c r="F24" s="4"/>
      <c r="G24" s="4"/>
      <c r="H24" s="4"/>
      <c r="I24" s="4"/>
      <c r="J24" s="18"/>
      <c r="K24" s="20"/>
      <c r="L24" s="20"/>
      <c r="M24" s="20"/>
    </row>
    <row r="25" spans="2:13" ht="17.149999999999999" customHeight="1" x14ac:dyDescent="0.25">
      <c r="B25" s="4"/>
      <c r="C25" s="4"/>
      <c r="D25" s="4"/>
      <c r="E25" s="4"/>
      <c r="F25" s="4"/>
      <c r="G25" s="4"/>
      <c r="H25" s="4"/>
      <c r="I25" s="4"/>
      <c r="J25" s="18"/>
      <c r="K25" s="20"/>
      <c r="L25" s="20"/>
      <c r="M25" s="20"/>
    </row>
  </sheetData>
  <phoneticPr fontId="2" type="noConversion"/>
  <pageMargins left="0.75" right="0.75" top="1" bottom="1" header="0.5" footer="0.5"/>
  <pageSetup scale="94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pageSetUpPr fitToPage="1"/>
  </sheetPr>
  <dimension ref="A2:J29"/>
  <sheetViews>
    <sheetView workbookViewId="0">
      <selection activeCell="E1" sqref="E1:I2"/>
    </sheetView>
  </sheetViews>
  <sheetFormatPr defaultRowHeight="12.5" x14ac:dyDescent="0.25"/>
  <sheetData>
    <row r="2" spans="1:10" ht="13" thickBot="1" x14ac:dyDescent="0.3">
      <c r="A2" s="2"/>
      <c r="B2" s="40"/>
      <c r="C2" s="40"/>
    </row>
    <row r="3" spans="1:10" x14ac:dyDescent="0.25">
      <c r="A3" s="2"/>
      <c r="B3" s="39"/>
      <c r="C3" s="42"/>
    </row>
    <row r="4" spans="1:10" ht="13" thickBot="1" x14ac:dyDescent="0.3">
      <c r="A4" s="2"/>
      <c r="B4" s="2"/>
      <c r="C4" s="3"/>
      <c r="D4" s="46"/>
      <c r="E4" s="40"/>
      <c r="F4" s="2"/>
      <c r="G4" s="2"/>
      <c r="H4" s="2"/>
      <c r="I4" s="2"/>
      <c r="J4" s="2"/>
    </row>
    <row r="5" spans="1:10" x14ac:dyDescent="0.25">
      <c r="A5" s="2"/>
      <c r="B5" s="2"/>
      <c r="C5" s="3"/>
      <c r="D5" s="47"/>
      <c r="E5" s="48"/>
      <c r="F5" s="2"/>
      <c r="G5" s="2"/>
      <c r="H5" s="2"/>
      <c r="I5" s="2"/>
      <c r="J5" s="2"/>
    </row>
    <row r="6" spans="1:10" ht="13" thickBot="1" x14ac:dyDescent="0.3">
      <c r="A6" s="2"/>
      <c r="B6" s="45"/>
      <c r="C6" s="44"/>
      <c r="D6" s="2"/>
      <c r="E6" s="3"/>
      <c r="F6" s="2"/>
      <c r="G6" s="2"/>
      <c r="H6" s="2"/>
      <c r="I6" s="2"/>
      <c r="J6" s="2"/>
    </row>
    <row r="7" spans="1:10" x14ac:dyDescent="0.25">
      <c r="A7" s="2"/>
      <c r="B7" s="39"/>
      <c r="C7" s="39"/>
      <c r="D7" s="2"/>
      <c r="E7" s="3"/>
      <c r="F7" s="2"/>
      <c r="G7" s="2"/>
      <c r="H7" s="2"/>
      <c r="I7" s="2"/>
      <c r="J7" s="2"/>
    </row>
    <row r="8" spans="1:10" ht="13" thickBot="1" x14ac:dyDescent="0.3">
      <c r="A8" s="2"/>
      <c r="B8" s="2"/>
      <c r="C8" s="2"/>
      <c r="D8" s="2"/>
      <c r="E8" s="3"/>
      <c r="F8" s="46"/>
      <c r="G8" s="40"/>
      <c r="H8" s="2"/>
      <c r="I8" s="2"/>
      <c r="J8" s="2"/>
    </row>
    <row r="9" spans="1:10" ht="13" thickBot="1" x14ac:dyDescent="0.3">
      <c r="A9" s="2"/>
      <c r="B9" s="40"/>
      <c r="C9" s="40"/>
      <c r="D9" s="2"/>
      <c r="E9" s="3"/>
      <c r="F9" s="41"/>
      <c r="G9" s="42"/>
      <c r="H9" s="2"/>
      <c r="I9" s="2"/>
      <c r="J9" s="2"/>
    </row>
    <row r="10" spans="1:10" x14ac:dyDescent="0.25">
      <c r="A10" s="2"/>
      <c r="B10" s="39"/>
      <c r="C10" s="42"/>
      <c r="D10" s="2"/>
      <c r="E10" s="3"/>
      <c r="F10" s="2"/>
      <c r="G10" s="3"/>
      <c r="H10" s="2"/>
      <c r="I10" s="2"/>
      <c r="J10" s="2"/>
    </row>
    <row r="11" spans="1:10" ht="13" thickBot="1" x14ac:dyDescent="0.3">
      <c r="A11" s="2"/>
      <c r="B11" s="2"/>
      <c r="C11" s="3"/>
      <c r="D11" s="43"/>
      <c r="E11" s="44"/>
      <c r="F11" s="2"/>
      <c r="G11" s="3"/>
      <c r="H11" s="2"/>
      <c r="I11" s="2"/>
      <c r="J11" s="2"/>
    </row>
    <row r="12" spans="1:10" x14ac:dyDescent="0.25">
      <c r="A12" s="2"/>
      <c r="B12" s="2"/>
      <c r="C12" s="3"/>
      <c r="D12" s="41"/>
      <c r="E12" s="39"/>
      <c r="F12" s="2"/>
      <c r="G12" s="3"/>
      <c r="H12" s="2"/>
      <c r="I12" s="2"/>
      <c r="J12" s="2"/>
    </row>
    <row r="13" spans="1:10" ht="13" thickBot="1" x14ac:dyDescent="0.3">
      <c r="A13" s="2"/>
      <c r="B13" s="45"/>
      <c r="C13" s="44"/>
      <c r="D13" s="2"/>
      <c r="E13" s="2"/>
      <c r="F13" s="2"/>
      <c r="G13" s="3"/>
      <c r="H13" s="2"/>
      <c r="I13" s="2"/>
      <c r="J13" s="2"/>
    </row>
    <row r="14" spans="1:10" x14ac:dyDescent="0.25">
      <c r="A14" s="2"/>
      <c r="B14" s="39"/>
      <c r="C14" s="39"/>
      <c r="D14" s="2"/>
      <c r="E14" s="2"/>
      <c r="F14" s="2"/>
      <c r="G14" s="3"/>
      <c r="H14" s="2"/>
      <c r="I14" s="2"/>
      <c r="J14" s="2"/>
    </row>
    <row r="15" spans="1:10" ht="13" thickBot="1" x14ac:dyDescent="0.3">
      <c r="A15" s="2"/>
      <c r="B15" s="2"/>
      <c r="C15" s="2"/>
      <c r="D15" s="2"/>
      <c r="E15" s="2"/>
      <c r="F15" s="2"/>
      <c r="G15" s="3"/>
      <c r="H15" s="43"/>
      <c r="I15" s="45"/>
      <c r="J15" s="2"/>
    </row>
    <row r="16" spans="1:10" ht="13" thickBot="1" x14ac:dyDescent="0.3">
      <c r="A16" s="2"/>
      <c r="B16" s="40"/>
      <c r="C16" s="40"/>
      <c r="D16" s="2"/>
      <c r="E16" s="2"/>
      <c r="F16" s="2"/>
      <c r="G16" s="3"/>
      <c r="H16" s="41"/>
      <c r="I16" s="39"/>
      <c r="J16" s="2"/>
    </row>
    <row r="17" spans="1:10" x14ac:dyDescent="0.25">
      <c r="A17" s="2"/>
      <c r="B17" s="39"/>
      <c r="C17" s="42"/>
      <c r="D17" s="2"/>
      <c r="E17" s="2"/>
      <c r="F17" s="2"/>
      <c r="G17" s="3"/>
      <c r="H17" s="2"/>
      <c r="I17" s="2"/>
      <c r="J17" s="2"/>
    </row>
    <row r="18" spans="1:10" ht="13" thickBot="1" x14ac:dyDescent="0.3">
      <c r="A18" s="2"/>
      <c r="B18" s="2"/>
      <c r="C18" s="3"/>
      <c r="D18" s="46"/>
      <c r="E18" s="40"/>
      <c r="F18" s="2"/>
      <c r="G18" s="3"/>
      <c r="H18" s="2"/>
      <c r="I18" s="2"/>
      <c r="J18" s="2"/>
    </row>
    <row r="19" spans="1:10" x14ac:dyDescent="0.25">
      <c r="A19" s="2"/>
      <c r="B19" s="2"/>
      <c r="C19" s="3"/>
      <c r="D19" s="41"/>
      <c r="E19" s="42"/>
      <c r="F19" s="2"/>
      <c r="G19" s="3"/>
      <c r="H19" s="2"/>
      <c r="I19" s="2"/>
      <c r="J19" s="2"/>
    </row>
    <row r="20" spans="1:10" ht="13" thickBot="1" x14ac:dyDescent="0.3">
      <c r="A20" s="2"/>
      <c r="B20" s="45"/>
      <c r="C20" s="44"/>
      <c r="D20" s="2"/>
      <c r="E20" s="3"/>
      <c r="F20" s="2"/>
      <c r="G20" s="3"/>
      <c r="H20" s="2"/>
      <c r="I20" s="2"/>
      <c r="J20" s="2"/>
    </row>
    <row r="21" spans="1:10" x14ac:dyDescent="0.25">
      <c r="A21" s="2"/>
      <c r="B21" s="39"/>
      <c r="C21" s="39"/>
      <c r="D21" s="2"/>
      <c r="E21" s="3"/>
      <c r="F21" s="2"/>
      <c r="G21" s="3"/>
      <c r="H21" s="2"/>
      <c r="I21" s="2"/>
      <c r="J21" s="2"/>
    </row>
    <row r="22" spans="1:10" ht="13" thickBot="1" x14ac:dyDescent="0.3">
      <c r="A22" s="2"/>
      <c r="B22" s="2"/>
      <c r="C22" s="2"/>
      <c r="D22" s="2"/>
      <c r="E22" s="3"/>
      <c r="F22" s="43"/>
      <c r="G22" s="44"/>
      <c r="H22" s="2"/>
      <c r="I22" s="2"/>
      <c r="J22" s="2"/>
    </row>
    <row r="23" spans="1:10" ht="13" thickBot="1" x14ac:dyDescent="0.3">
      <c r="A23" s="2"/>
      <c r="B23" s="40"/>
      <c r="C23" s="40"/>
      <c r="D23" s="2"/>
      <c r="E23" s="3"/>
      <c r="F23" s="41"/>
      <c r="G23" s="39"/>
      <c r="H23" s="2"/>
      <c r="I23" s="2"/>
      <c r="J23" s="2"/>
    </row>
    <row r="24" spans="1:10" x14ac:dyDescent="0.25">
      <c r="A24" s="2"/>
      <c r="B24" s="39"/>
      <c r="C24" s="42"/>
      <c r="D24" s="2"/>
      <c r="E24" s="3"/>
      <c r="F24" s="2"/>
      <c r="G24" s="2"/>
      <c r="H24" s="2"/>
      <c r="I24" s="2"/>
      <c r="J24" s="2"/>
    </row>
    <row r="25" spans="1:10" ht="13" thickBot="1" x14ac:dyDescent="0.3">
      <c r="A25" s="2"/>
      <c r="B25" s="2"/>
      <c r="C25" s="3"/>
      <c r="D25" s="43"/>
      <c r="E25" s="44"/>
      <c r="F25" s="2"/>
      <c r="G25" s="2"/>
      <c r="H25" s="2"/>
      <c r="I25" s="2"/>
      <c r="J25" s="2"/>
    </row>
    <row r="26" spans="1:10" x14ac:dyDescent="0.25">
      <c r="A26" s="2"/>
      <c r="B26" s="2"/>
      <c r="C26" s="3"/>
      <c r="D26" s="41"/>
      <c r="E26" s="39"/>
      <c r="F26" s="2"/>
      <c r="G26" s="2"/>
      <c r="H26" s="2"/>
      <c r="I26" s="2"/>
      <c r="J26" s="2"/>
    </row>
    <row r="27" spans="1:10" ht="13" thickBot="1" x14ac:dyDescent="0.3">
      <c r="A27" s="2"/>
      <c r="B27" s="45"/>
      <c r="C27" s="44"/>
      <c r="D27" s="2"/>
      <c r="E27" s="2"/>
      <c r="F27" s="2"/>
      <c r="G27" s="2"/>
      <c r="H27" s="2"/>
      <c r="I27" s="2"/>
      <c r="J27" s="2"/>
    </row>
    <row r="28" spans="1:10" x14ac:dyDescent="0.25">
      <c r="A28" s="2"/>
      <c r="B28" s="39"/>
      <c r="C28" s="39"/>
      <c r="D28" s="2"/>
      <c r="E28" s="2"/>
      <c r="F28" s="2"/>
      <c r="G28" s="2"/>
      <c r="H28" s="2"/>
      <c r="I28" s="2"/>
      <c r="J28" s="2"/>
    </row>
    <row r="29" spans="1:10" ht="27.5" x14ac:dyDescent="0.55000000000000004">
      <c r="A29" s="2"/>
      <c r="B29" s="6" t="s">
        <v>19</v>
      </c>
      <c r="C29" s="2"/>
      <c r="D29" s="2"/>
      <c r="E29" s="2"/>
      <c r="F29" s="2"/>
      <c r="G29" s="2"/>
      <c r="H29" s="2"/>
      <c r="I29" s="2"/>
      <c r="J29" s="2"/>
    </row>
  </sheetData>
  <mergeCells count="30">
    <mergeCell ref="B28:C28"/>
    <mergeCell ref="B14:C14"/>
    <mergeCell ref="B21:C21"/>
    <mergeCell ref="D18:E18"/>
    <mergeCell ref="D19:E19"/>
    <mergeCell ref="B24:C24"/>
    <mergeCell ref="B20:C20"/>
    <mergeCell ref="B23:C23"/>
    <mergeCell ref="D26:E26"/>
    <mergeCell ref="B17:C17"/>
    <mergeCell ref="F8:G8"/>
    <mergeCell ref="F9:G9"/>
    <mergeCell ref="H15:I15"/>
    <mergeCell ref="B9:C9"/>
    <mergeCell ref="B10:C10"/>
    <mergeCell ref="B13:C13"/>
    <mergeCell ref="D11:E11"/>
    <mergeCell ref="B2:C2"/>
    <mergeCell ref="B3:C3"/>
    <mergeCell ref="B6:C6"/>
    <mergeCell ref="D12:E12"/>
    <mergeCell ref="D4:E4"/>
    <mergeCell ref="D5:E5"/>
    <mergeCell ref="B7:C7"/>
    <mergeCell ref="F22:G22"/>
    <mergeCell ref="B16:C16"/>
    <mergeCell ref="D25:E25"/>
    <mergeCell ref="H16:I16"/>
    <mergeCell ref="B27:C27"/>
    <mergeCell ref="F23:G23"/>
  </mergeCells>
  <phoneticPr fontId="2" type="noConversion"/>
  <conditionalFormatting sqref="B6:C6 B13:C13 B20:C20 B27:C27 D11:E11 D25:E25 F22:G22">
    <cfRule type="cellIs" dxfId="0" priority="7" operator="greaterThan">
      <formula>0</formula>
    </cfRule>
  </conditionalFormatting>
  <pageMargins left="0.75" right="0.75" top="1" bottom="1" header="0.5" footer="0.5"/>
  <pageSetup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Instructions</vt:lpstr>
      <vt:lpstr>Input</vt:lpstr>
      <vt:lpstr>toTF</vt:lpstr>
      <vt:lpstr>fromTF</vt:lpstr>
      <vt:lpstr>event</vt:lpstr>
      <vt:lpstr>Doubleelim</vt:lpstr>
      <vt:lpstr>Bracket2Template</vt:lpstr>
      <vt:lpstr>BracketTemplate</vt:lpstr>
      <vt:lpstr>BracketTemplate!Print_Area</vt:lpstr>
      <vt:lpstr>Doubleelim!Print_Area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Pottle</dc:creator>
  <cp:lastModifiedBy>Bill Pottle</cp:lastModifiedBy>
  <cp:lastPrinted>2015-03-22T03:34:18Z</cp:lastPrinted>
  <dcterms:created xsi:type="dcterms:W3CDTF">2012-04-11T21:13:06Z</dcterms:created>
  <dcterms:modified xsi:type="dcterms:W3CDTF">2019-06-14T01:18:49Z</dcterms:modified>
</cp:coreProperties>
</file>